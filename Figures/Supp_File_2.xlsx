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uflorida.sharepoint.com/teams/HaitiVector/Shared Documents/General/data/"/>
    </mc:Choice>
  </mc:AlternateContent>
  <xr:revisionPtr revIDLastSave="1" documentId="13_ncr:1_{815CFCFA-66A8-49CD-9D48-A41AE51609D7}" xr6:coauthVersionLast="47" xr6:coauthVersionMax="47" xr10:uidLastSave="{E8270D47-E747-4159-9550-55A58A8C8142}"/>
  <bookViews>
    <workbookView xWindow="-120" yWindow="-120" windowWidth="29040" windowHeight="15720" tabRatio="692" xr2:uid="{D7B6F9FA-E942-409C-A119-37236683EDB5}"/>
  </bookViews>
  <sheets>
    <sheet name="PiN" sheetId="27" r:id="rId1"/>
    <sheet name="Severity" sheetId="93" r:id="rId2"/>
    <sheet name="Historical" sheetId="92" r:id="rId3"/>
  </sheets>
  <definedNames>
    <definedName name="_xlnm._FilterDatabase" localSheetId="2" hidden="1">Historical!#REF!</definedName>
    <definedName name="_xlnm._FilterDatabase" localSheetId="0" hidden="1">PiN!$S$2:$T$2</definedName>
    <definedName name="_xlnm._FilterDatabase" localSheetId="1" hidden="1">Severity!$X$2:$Y$2</definedName>
    <definedName name="flag_pin_historical">#REF!</definedName>
    <definedName name="flag_pin_perc">#REF!</definedName>
    <definedName name="perc_1st_2nd">#REF!</definedName>
    <definedName name="perc_1st_3rd">#REF!</definedName>
    <definedName name="pin_perc">#REF!</definedName>
    <definedName name="sectors_sev_4">#REF!</definedName>
    <definedName name="sectors_sev_5">#REF!</definedName>
    <definedName name="zero_pin_thresh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" i="27" l="1"/>
  <c r="S1" i="27"/>
  <c r="V56" i="92" l="1"/>
  <c r="S9" i="93"/>
  <c r="S49" i="93"/>
  <c r="S85" i="93"/>
  <c r="S117" i="93"/>
  <c r="T12" i="93"/>
  <c r="T47" i="93"/>
  <c r="T79" i="93"/>
  <c r="T118" i="93"/>
  <c r="U13" i="93"/>
  <c r="U40" i="93"/>
  <c r="U68" i="93"/>
  <c r="U99" i="93"/>
  <c r="U132" i="93"/>
  <c r="V31" i="93"/>
  <c r="V69" i="93"/>
  <c r="V100" i="93"/>
  <c r="V129" i="93"/>
  <c r="W22" i="93"/>
  <c r="W53" i="93"/>
  <c r="W92" i="93"/>
  <c r="W123" i="93"/>
  <c r="S139" i="93"/>
  <c r="S13" i="93"/>
  <c r="S50" i="93"/>
  <c r="S86" i="93"/>
  <c r="S118" i="93"/>
  <c r="T13" i="93"/>
  <c r="T48" i="93"/>
  <c r="T80" i="93"/>
  <c r="T119" i="93"/>
  <c r="U14" i="93"/>
  <c r="U41" i="93"/>
  <c r="U69" i="93"/>
  <c r="U100" i="93"/>
  <c r="U134" i="93"/>
  <c r="V32" i="93"/>
  <c r="V70" i="93"/>
  <c r="V101" i="93"/>
  <c r="V130" i="93"/>
  <c r="W23" i="93"/>
  <c r="W55" i="93"/>
  <c r="W93" i="93"/>
  <c r="W124" i="93"/>
  <c r="V121" i="93"/>
  <c r="U63" i="93"/>
  <c r="W81" i="93"/>
  <c r="S45" i="93"/>
  <c r="U64" i="93"/>
  <c r="V95" i="93"/>
  <c r="S14" i="93"/>
  <c r="S51" i="93"/>
  <c r="S87" i="93"/>
  <c r="S119" i="93"/>
  <c r="T16" i="93"/>
  <c r="T49" i="93"/>
  <c r="T81" i="93"/>
  <c r="T120" i="93"/>
  <c r="U15" i="93"/>
  <c r="U42" i="93"/>
  <c r="U70" i="93"/>
  <c r="U101" i="93"/>
  <c r="U136" i="93"/>
  <c r="V33" i="93"/>
  <c r="V71" i="93"/>
  <c r="V103" i="93"/>
  <c r="V132" i="93"/>
  <c r="W24" i="93"/>
  <c r="W57" i="93"/>
  <c r="W94" i="93"/>
  <c r="W125" i="93"/>
  <c r="T105" i="93"/>
  <c r="T41" i="93"/>
  <c r="V123" i="93"/>
  <c r="T74" i="93"/>
  <c r="W49" i="93"/>
  <c r="S17" i="93"/>
  <c r="S52" i="93"/>
  <c r="S88" i="93"/>
  <c r="S120" i="93"/>
  <c r="T17" i="93"/>
  <c r="T50" i="93"/>
  <c r="T87" i="93"/>
  <c r="T121" i="93"/>
  <c r="U16" i="93"/>
  <c r="U43" i="93"/>
  <c r="U71" i="93"/>
  <c r="U103" i="93"/>
  <c r="U137" i="93"/>
  <c r="V34" i="93"/>
  <c r="V72" i="93"/>
  <c r="V104" i="93"/>
  <c r="V133" i="93"/>
  <c r="W25" i="93"/>
  <c r="W60" i="93"/>
  <c r="W95" i="93"/>
  <c r="W127" i="93"/>
  <c r="U91" i="93"/>
  <c r="T106" i="93"/>
  <c r="S80" i="93"/>
  <c r="U127" i="93"/>
  <c r="W119" i="93"/>
  <c r="S18" i="93"/>
  <c r="S55" i="93"/>
  <c r="S92" i="93"/>
  <c r="S121" i="93"/>
  <c r="T19" i="93"/>
  <c r="T51" i="93"/>
  <c r="T88" i="93"/>
  <c r="T122" i="93"/>
  <c r="U17" i="93"/>
  <c r="U44" i="93"/>
  <c r="U72" i="93"/>
  <c r="U105" i="93"/>
  <c r="U138" i="93"/>
  <c r="V36" i="93"/>
  <c r="V73" i="93"/>
  <c r="V105" i="93"/>
  <c r="V134" i="93"/>
  <c r="W26" i="93"/>
  <c r="W61" i="93"/>
  <c r="W96" i="93"/>
  <c r="W128" i="93"/>
  <c r="V93" i="93"/>
  <c r="W17" i="93"/>
  <c r="S20" i="93"/>
  <c r="S56" i="93"/>
  <c r="S93" i="93"/>
  <c r="S122" i="93"/>
  <c r="T20" i="93"/>
  <c r="T52" i="93"/>
  <c r="T91" i="93"/>
  <c r="T123" i="93"/>
  <c r="U18" i="93"/>
  <c r="U45" i="93"/>
  <c r="U73" i="93"/>
  <c r="U106" i="93"/>
  <c r="U139" i="93"/>
  <c r="V42" i="93"/>
  <c r="V75" i="93"/>
  <c r="V106" i="93"/>
  <c r="V135" i="93"/>
  <c r="W27" i="93"/>
  <c r="W64" i="93"/>
  <c r="W97" i="93"/>
  <c r="W129" i="93"/>
  <c r="W47" i="93"/>
  <c r="V58" i="93"/>
  <c r="T112" i="93"/>
  <c r="S21" i="93"/>
  <c r="S57" i="93"/>
  <c r="S94" i="93"/>
  <c r="S123" i="93"/>
  <c r="T21" i="93"/>
  <c r="T53" i="93"/>
  <c r="T92" i="93"/>
  <c r="T124" i="93"/>
  <c r="U19" i="93"/>
  <c r="U46" i="93"/>
  <c r="U75" i="93"/>
  <c r="U108" i="93"/>
  <c r="U140" i="93"/>
  <c r="V43" i="93"/>
  <c r="V76" i="93"/>
  <c r="V108" i="93"/>
  <c r="V136" i="93"/>
  <c r="W28" i="93"/>
  <c r="W65" i="93"/>
  <c r="W98" i="93"/>
  <c r="W135" i="93"/>
  <c r="T72" i="93"/>
  <c r="U124" i="93"/>
  <c r="U9" i="93"/>
  <c r="S22" i="93"/>
  <c r="S58" i="93"/>
  <c r="S95" i="93"/>
  <c r="S124" i="93"/>
  <c r="T22" i="93"/>
  <c r="T55" i="93"/>
  <c r="T93" i="93"/>
  <c r="T125" i="93"/>
  <c r="U20" i="93"/>
  <c r="U47" i="93"/>
  <c r="U76" i="93"/>
  <c r="U110" i="93"/>
  <c r="U141" i="93"/>
  <c r="V44" i="93"/>
  <c r="V77" i="93"/>
  <c r="V109" i="93"/>
  <c r="V137" i="93"/>
  <c r="W31" i="93"/>
  <c r="W67" i="93"/>
  <c r="W99" i="93"/>
  <c r="W136" i="93"/>
  <c r="U33" i="93"/>
  <c r="V124" i="93"/>
  <c r="S23" i="93"/>
  <c r="S60" i="93"/>
  <c r="S96" i="93"/>
  <c r="S127" i="93"/>
  <c r="T23" i="93"/>
  <c r="T56" i="93"/>
  <c r="T94" i="93"/>
  <c r="T127" i="93"/>
  <c r="U21" i="93"/>
  <c r="U48" i="93"/>
  <c r="U79" i="93"/>
  <c r="U111" i="93"/>
  <c r="U142" i="93"/>
  <c r="V45" i="93"/>
  <c r="V79" i="93"/>
  <c r="V110" i="93"/>
  <c r="V138" i="93"/>
  <c r="W32" i="93"/>
  <c r="W68" i="93"/>
  <c r="W100" i="93"/>
  <c r="W139" i="93"/>
  <c r="W117" i="93"/>
  <c r="S79" i="93"/>
  <c r="W118" i="93"/>
  <c r="U36" i="93"/>
  <c r="S24" i="93"/>
  <c r="S61" i="93"/>
  <c r="S98" i="93"/>
  <c r="S128" i="93"/>
  <c r="T24" i="93"/>
  <c r="T57" i="93"/>
  <c r="T95" i="93"/>
  <c r="T128" i="93"/>
  <c r="U22" i="93"/>
  <c r="U50" i="93"/>
  <c r="U80" i="93"/>
  <c r="U112" i="93"/>
  <c r="V7" i="93"/>
  <c r="V46" i="93"/>
  <c r="V80" i="93"/>
  <c r="V111" i="93"/>
  <c r="V139" i="93"/>
  <c r="W33" i="93"/>
  <c r="W69" i="93"/>
  <c r="W101" i="93"/>
  <c r="W140" i="93"/>
  <c r="U8" i="93"/>
  <c r="S25" i="93"/>
  <c r="S67" i="93"/>
  <c r="S99" i="93"/>
  <c r="S129" i="93"/>
  <c r="T25" i="93"/>
  <c r="T62" i="93"/>
  <c r="T96" i="93"/>
  <c r="T129" i="93"/>
  <c r="U23" i="93"/>
  <c r="U51" i="93"/>
  <c r="U81" i="93"/>
  <c r="U113" i="93"/>
  <c r="V8" i="93"/>
  <c r="V47" i="93"/>
  <c r="V81" i="93"/>
  <c r="V112" i="93"/>
  <c r="V140" i="93"/>
  <c r="W35" i="93"/>
  <c r="W70" i="93"/>
  <c r="W103" i="93"/>
  <c r="W141" i="93"/>
  <c r="V24" i="93"/>
  <c r="U92" i="93"/>
  <c r="V60" i="93"/>
  <c r="S26" i="93"/>
  <c r="S68" i="93"/>
  <c r="S100" i="93"/>
  <c r="S130" i="93"/>
  <c r="T26" i="93"/>
  <c r="T63" i="93"/>
  <c r="T97" i="93"/>
  <c r="T130" i="93"/>
  <c r="U24" i="93"/>
  <c r="U52" i="93"/>
  <c r="U83" i="93"/>
  <c r="U114" i="93"/>
  <c r="V9" i="93"/>
  <c r="V48" i="93"/>
  <c r="V82" i="93"/>
  <c r="V113" i="93"/>
  <c r="V141" i="93"/>
  <c r="W36" i="93"/>
  <c r="W71" i="93"/>
  <c r="W104" i="93"/>
  <c r="W142" i="93"/>
  <c r="U7" i="93"/>
  <c r="T73" i="93"/>
  <c r="S27" i="93"/>
  <c r="S69" i="93"/>
  <c r="S103" i="93"/>
  <c r="S133" i="93"/>
  <c r="T27" i="93"/>
  <c r="T66" i="93"/>
  <c r="T98" i="93"/>
  <c r="T131" i="93"/>
  <c r="U25" i="93"/>
  <c r="U55" i="93"/>
  <c r="U85" i="93"/>
  <c r="U115" i="93"/>
  <c r="V16" i="93"/>
  <c r="V49" i="93"/>
  <c r="V84" i="93"/>
  <c r="V114" i="93"/>
  <c r="V142" i="93"/>
  <c r="W39" i="93"/>
  <c r="W72" i="93"/>
  <c r="W105" i="93"/>
  <c r="V57" i="93"/>
  <c r="U35" i="93"/>
  <c r="W48" i="93"/>
  <c r="W85" i="93"/>
  <c r="S28" i="93"/>
  <c r="S70" i="93"/>
  <c r="S105" i="93"/>
  <c r="S134" i="93"/>
  <c r="T28" i="93"/>
  <c r="T67" i="93"/>
  <c r="T99" i="93"/>
  <c r="T137" i="93"/>
  <c r="U26" i="93"/>
  <c r="U56" i="93"/>
  <c r="U86" i="93"/>
  <c r="U116" i="93"/>
  <c r="V17" i="93"/>
  <c r="V51" i="93"/>
  <c r="V85" i="93"/>
  <c r="V116" i="93"/>
  <c r="W7" i="93"/>
  <c r="W40" i="93"/>
  <c r="W73" i="93"/>
  <c r="W110" i="93"/>
  <c r="U123" i="93"/>
  <c r="S112" i="93"/>
  <c r="V94" i="93"/>
  <c r="U93" i="93"/>
  <c r="S31" i="93"/>
  <c r="S71" i="93"/>
  <c r="S106" i="93"/>
  <c r="S135" i="93"/>
  <c r="T29" i="93"/>
  <c r="T68" i="93"/>
  <c r="T100" i="93"/>
  <c r="T138" i="93"/>
  <c r="U27" i="93"/>
  <c r="U57" i="93"/>
  <c r="U87" i="93"/>
  <c r="U117" i="93"/>
  <c r="V20" i="93"/>
  <c r="V52" i="93"/>
  <c r="V86" i="93"/>
  <c r="V117" i="93"/>
  <c r="W8" i="93"/>
  <c r="W42" i="93"/>
  <c r="W74" i="93"/>
  <c r="W111" i="93"/>
  <c r="T38" i="93"/>
  <c r="S140" i="93"/>
  <c r="W15" i="93"/>
  <c r="S32" i="93"/>
  <c r="S72" i="93"/>
  <c r="S108" i="93"/>
  <c r="S136" i="93"/>
  <c r="T31" i="93"/>
  <c r="T69" i="93"/>
  <c r="T101" i="93"/>
  <c r="T140" i="93"/>
  <c r="U28" i="93"/>
  <c r="U58" i="93"/>
  <c r="U88" i="93"/>
  <c r="U118" i="93"/>
  <c r="V21" i="93"/>
  <c r="V53" i="93"/>
  <c r="V87" i="93"/>
  <c r="V118" i="93"/>
  <c r="W9" i="93"/>
  <c r="W44" i="93"/>
  <c r="W75" i="93"/>
  <c r="W114" i="93"/>
  <c r="W14" i="93"/>
  <c r="S33" i="93"/>
  <c r="S74" i="93"/>
  <c r="S109" i="93"/>
  <c r="S137" i="93"/>
  <c r="T33" i="93"/>
  <c r="T70" i="93"/>
  <c r="T103" i="93"/>
  <c r="T141" i="93"/>
  <c r="U29" i="93"/>
  <c r="U60" i="93"/>
  <c r="U89" i="93"/>
  <c r="U119" i="93"/>
  <c r="V22" i="93"/>
  <c r="V55" i="93"/>
  <c r="V88" i="93"/>
  <c r="V119" i="93"/>
  <c r="W10" i="93"/>
  <c r="W45" i="93"/>
  <c r="W76" i="93"/>
  <c r="W115" i="93"/>
  <c r="S141" i="93"/>
  <c r="V26" i="93"/>
  <c r="S40" i="93"/>
  <c r="S75" i="93"/>
  <c r="S110" i="93"/>
  <c r="S138" i="93"/>
  <c r="T37" i="93"/>
  <c r="T71" i="93"/>
  <c r="T104" i="93"/>
  <c r="T142" i="93"/>
  <c r="U31" i="93"/>
  <c r="U61" i="93"/>
  <c r="U90" i="93"/>
  <c r="U120" i="93"/>
  <c r="V23" i="93"/>
  <c r="V56" i="93"/>
  <c r="V92" i="93"/>
  <c r="V120" i="93"/>
  <c r="W11" i="93"/>
  <c r="W46" i="93"/>
  <c r="W77" i="93"/>
  <c r="W116" i="93"/>
  <c r="S41" i="93"/>
  <c r="V25" i="93"/>
  <c r="T42" i="93"/>
  <c r="S76" i="93"/>
  <c r="S111" i="93"/>
  <c r="U62" i="93"/>
  <c r="W79" i="93"/>
  <c r="S44" i="93"/>
  <c r="S113" i="93"/>
  <c r="S46" i="93"/>
  <c r="S81" i="93"/>
  <c r="S114" i="93"/>
  <c r="S142" i="93"/>
  <c r="T44" i="93"/>
  <c r="T75" i="93"/>
  <c r="T113" i="93"/>
  <c r="U10" i="93"/>
  <c r="U37" i="93"/>
  <c r="U65" i="93"/>
  <c r="U94" i="93"/>
  <c r="U128" i="93"/>
  <c r="V27" i="93"/>
  <c r="V61" i="93"/>
  <c r="V96" i="93"/>
  <c r="V125" i="93"/>
  <c r="W19" i="93"/>
  <c r="W50" i="93"/>
  <c r="W86" i="93"/>
  <c r="W120" i="93"/>
  <c r="S116" i="93"/>
  <c r="T46" i="93"/>
  <c r="U12" i="93"/>
  <c r="U67" i="93"/>
  <c r="U131" i="93"/>
  <c r="V68" i="93"/>
  <c r="W52" i="93"/>
  <c r="W122" i="93"/>
  <c r="S47" i="93"/>
  <c r="S82" i="93"/>
  <c r="S115" i="93"/>
  <c r="T7" i="93"/>
  <c r="T45" i="93"/>
  <c r="T76" i="93"/>
  <c r="T116" i="93"/>
  <c r="U11" i="93"/>
  <c r="U38" i="93"/>
  <c r="U66" i="93"/>
  <c r="U95" i="93"/>
  <c r="U129" i="93"/>
  <c r="V28" i="93"/>
  <c r="V62" i="93"/>
  <c r="V98" i="93"/>
  <c r="V127" i="93"/>
  <c r="W20" i="93"/>
  <c r="W51" i="93"/>
  <c r="W89" i="93"/>
  <c r="W121" i="93"/>
  <c r="S7" i="93"/>
  <c r="S48" i="93"/>
  <c r="S84" i="93"/>
  <c r="T9" i="93"/>
  <c r="T77" i="93"/>
  <c r="T117" i="93"/>
  <c r="U39" i="93"/>
  <c r="U96" i="93"/>
  <c r="V29" i="93"/>
  <c r="V99" i="93"/>
  <c r="V128" i="93"/>
  <c r="W21" i="93"/>
  <c r="W90" i="93"/>
  <c r="V64" i="93"/>
  <c r="V13" i="93"/>
  <c r="T35" i="93"/>
  <c r="T59" i="93"/>
  <c r="T82" i="93"/>
  <c r="T102" i="93"/>
  <c r="W126" i="93"/>
  <c r="T126" i="93"/>
  <c r="V40" i="93"/>
  <c r="V74" i="93"/>
  <c r="W62" i="93"/>
  <c r="T10" i="93"/>
  <c r="T34" i="93"/>
  <c r="T32" i="93"/>
  <c r="T54" i="93"/>
  <c r="W102" i="93"/>
  <c r="T78" i="93"/>
  <c r="T139" i="93"/>
  <c r="W16" i="93"/>
  <c r="S132" i="93"/>
  <c r="S104" i="93"/>
  <c r="W37" i="93"/>
  <c r="W134" i="93"/>
  <c r="S65" i="93"/>
  <c r="S91" i="93"/>
  <c r="S34" i="93"/>
  <c r="T30" i="93"/>
  <c r="W78" i="93"/>
  <c r="W54" i="93"/>
  <c r="W107" i="93"/>
  <c r="V115" i="93"/>
  <c r="T108" i="93"/>
  <c r="W80" i="93"/>
  <c r="W63" i="93"/>
  <c r="W12" i="93"/>
  <c r="W109" i="93"/>
  <c r="S38" i="93"/>
  <c r="S64" i="93"/>
  <c r="W91" i="93"/>
  <c r="U135" i="93"/>
  <c r="U84" i="93"/>
  <c r="W56" i="93"/>
  <c r="W38" i="93"/>
  <c r="V122" i="93"/>
  <c r="W84" i="93"/>
  <c r="S10" i="93"/>
  <c r="S37" i="93"/>
  <c r="W30" i="93"/>
  <c r="V19" i="93"/>
  <c r="U126" i="93"/>
  <c r="S125" i="93"/>
  <c r="V67" i="93"/>
  <c r="T111" i="93"/>
  <c r="T60" i="93"/>
  <c r="U32" i="93"/>
  <c r="W13" i="93"/>
  <c r="V18" i="93"/>
  <c r="W59" i="93"/>
  <c r="S30" i="93"/>
  <c r="S126" i="93"/>
  <c r="S101" i="93"/>
  <c r="T43" i="93"/>
  <c r="W87" i="93"/>
  <c r="S36" i="93"/>
  <c r="S8" i="93"/>
  <c r="V97" i="93"/>
  <c r="U77" i="93"/>
  <c r="W34" i="93"/>
  <c r="V30" i="93"/>
  <c r="V126" i="93"/>
  <c r="W108" i="93"/>
  <c r="S77" i="93"/>
  <c r="S19" i="93"/>
  <c r="V63" i="93"/>
  <c r="V12" i="93"/>
  <c r="V50" i="93"/>
  <c r="T89" i="93"/>
  <c r="V41" i="93"/>
  <c r="U30" i="93"/>
  <c r="S53" i="93"/>
  <c r="W138" i="93"/>
  <c r="V39" i="93"/>
  <c r="U130" i="93"/>
  <c r="T64" i="93"/>
  <c r="U74" i="93"/>
  <c r="S29" i="93"/>
  <c r="T114" i="93"/>
  <c r="V15" i="93"/>
  <c r="S131" i="93"/>
  <c r="U104" i="93"/>
  <c r="T39" i="93"/>
  <c r="T36" i="93"/>
  <c r="S78" i="93"/>
  <c r="S90" i="93"/>
  <c r="S107" i="93"/>
  <c r="U53" i="93"/>
  <c r="T14" i="93"/>
  <c r="T11" i="93"/>
  <c r="V78" i="93"/>
  <c r="W133" i="93"/>
  <c r="V131" i="93"/>
  <c r="W106" i="93"/>
  <c r="V102" i="93"/>
  <c r="U121" i="93"/>
  <c r="W66" i="93"/>
  <c r="S83" i="93"/>
  <c r="T115" i="93"/>
  <c r="S15" i="93"/>
  <c r="S66" i="93"/>
  <c r="W131" i="93"/>
  <c r="U78" i="93"/>
  <c r="W130" i="93"/>
  <c r="W41" i="93"/>
  <c r="U82" i="93"/>
  <c r="U102" i="93"/>
  <c r="U97" i="93"/>
  <c r="S42" i="93"/>
  <c r="T134" i="93"/>
  <c r="S59" i="93"/>
  <c r="T90" i="93"/>
  <c r="S39" i="93"/>
  <c r="V90" i="93"/>
  <c r="V107" i="93"/>
  <c r="S73" i="93"/>
  <c r="T18" i="93"/>
  <c r="T110" i="93"/>
  <c r="S35" i="93"/>
  <c r="T65" i="93"/>
  <c r="S12" i="93"/>
  <c r="T133" i="93"/>
  <c r="U49" i="93"/>
  <c r="T86" i="93"/>
  <c r="S11" i="93"/>
  <c r="T40" i="93"/>
  <c r="T83" i="93"/>
  <c r="W132" i="93"/>
  <c r="U133" i="93"/>
  <c r="U98" i="93"/>
  <c r="W137" i="93"/>
  <c r="S62" i="93"/>
  <c r="T15" i="93"/>
  <c r="T8" i="93"/>
  <c r="W43" i="93"/>
  <c r="S16" i="93"/>
  <c r="S102" i="93"/>
  <c r="W113" i="93"/>
  <c r="V38" i="93"/>
  <c r="S97" i="93"/>
  <c r="S63" i="93"/>
  <c r="W18" i="93"/>
  <c r="V65" i="93"/>
  <c r="U109" i="93"/>
  <c r="W82" i="93"/>
  <c r="S89" i="93"/>
  <c r="V14" i="93"/>
  <c r="S43" i="93"/>
  <c r="U59" i="93"/>
  <c r="U125" i="93"/>
  <c r="W29" i="93"/>
  <c r="T136" i="93"/>
  <c r="T85" i="93"/>
  <c r="T58" i="93"/>
  <c r="W58" i="93"/>
  <c r="V91" i="93"/>
  <c r="V89" i="93"/>
  <c r="U107" i="93"/>
  <c r="S54" i="93"/>
  <c r="V59" i="93"/>
  <c r="V37" i="93"/>
  <c r="V10" i="93"/>
  <c r="T135" i="93"/>
  <c r="T84" i="93"/>
  <c r="T107" i="93"/>
  <c r="V11" i="93"/>
  <c r="V83" i="93"/>
  <c r="U122" i="93"/>
  <c r="W112" i="93"/>
  <c r="T61" i="93"/>
  <c r="U34" i="93"/>
  <c r="V66" i="93"/>
  <c r="T109" i="93"/>
  <c r="T132" i="93"/>
  <c r="V54" i="93"/>
  <c r="V35" i="93"/>
  <c r="W88" i="93"/>
  <c r="U54" i="93"/>
  <c r="W83" i="93"/>
  <c r="W3" i="93"/>
  <c r="W6" i="93"/>
  <c r="W5" i="93"/>
  <c r="W4" i="93"/>
  <c r="AH66" i="92"/>
  <c r="AI73" i="92"/>
  <c r="AG74" i="92"/>
  <c r="AK55" i="92"/>
  <c r="V29" i="92"/>
  <c r="V135" i="92"/>
  <c r="AE80" i="92"/>
  <c r="AJ54" i="92"/>
  <c r="Y33" i="92"/>
  <c r="AD75" i="92"/>
  <c r="AD41" i="92"/>
  <c r="V80" i="92"/>
  <c r="Y58" i="92"/>
  <c r="AD10" i="92"/>
  <c r="AA95" i="92"/>
  <c r="AK73" i="92"/>
  <c r="X50" i="92"/>
  <c r="AA6" i="92"/>
  <c r="W92" i="92"/>
  <c r="AG104" i="92"/>
  <c r="Z77" i="92"/>
  <c r="AD58" i="92"/>
  <c r="AE79" i="92"/>
  <c r="Y43" i="92"/>
  <c r="W126" i="92"/>
  <c r="AF42" i="92"/>
  <c r="Y23" i="92"/>
  <c r="AJ42" i="92"/>
  <c r="Y34" i="92"/>
  <c r="Z33" i="92"/>
  <c r="AI75" i="92"/>
  <c r="AC7" i="92"/>
  <c r="AG108" i="92"/>
  <c r="AJ73" i="92"/>
  <c r="V93" i="92"/>
  <c r="AB4" i="92"/>
  <c r="AG39" i="92"/>
  <c r="Z26" i="92"/>
  <c r="Y56" i="92"/>
  <c r="AH112" i="92"/>
  <c r="X33" i="92"/>
  <c r="AF20" i="92"/>
  <c r="Z42" i="92"/>
  <c r="AD121" i="92"/>
  <c r="AE43" i="92"/>
  <c r="W73" i="92"/>
  <c r="X66" i="92"/>
  <c r="AG119" i="92"/>
  <c r="AG102" i="92"/>
  <c r="AD82" i="92"/>
  <c r="AH85" i="92"/>
  <c r="W4" i="92"/>
  <c r="V37" i="92"/>
  <c r="AE119" i="92"/>
  <c r="W17" i="92"/>
  <c r="V33" i="92"/>
  <c r="AC121" i="92"/>
  <c r="X96" i="92"/>
  <c r="V66" i="92"/>
  <c r="AI74" i="92"/>
  <c r="AH121" i="92"/>
  <c r="AA17" i="92"/>
  <c r="Y98" i="92"/>
  <c r="AI123" i="92"/>
  <c r="Y123" i="92"/>
  <c r="AI39" i="92"/>
  <c r="AH68" i="92"/>
  <c r="V77" i="92"/>
  <c r="AB76" i="92"/>
  <c r="AD6" i="92"/>
  <c r="W129" i="92"/>
  <c r="AE125" i="92"/>
  <c r="AI71" i="92"/>
  <c r="AJ6" i="92"/>
  <c r="Y3" i="92"/>
  <c r="AD67" i="92"/>
  <c r="Y129" i="92"/>
  <c r="Y73" i="92"/>
  <c r="V12" i="92"/>
  <c r="V54" i="92"/>
  <c r="Z55" i="92"/>
  <c r="Y125" i="92"/>
  <c r="AG109" i="92"/>
  <c r="AD3" i="92"/>
  <c r="AE28" i="92"/>
  <c r="AF119" i="92"/>
  <c r="AE116" i="92"/>
  <c r="V42" i="92"/>
  <c r="Y120" i="92"/>
  <c r="AB67" i="92"/>
  <c r="AE64" i="92"/>
  <c r="AG45" i="92"/>
  <c r="AG88" i="92"/>
  <c r="AJ43" i="92"/>
  <c r="AI66" i="92"/>
  <c r="W58" i="92"/>
  <c r="Z67" i="92"/>
  <c r="X75" i="92"/>
  <c r="Y96" i="92"/>
  <c r="AF55" i="92"/>
  <c r="AK26" i="92"/>
  <c r="AC4" i="92"/>
  <c r="AC54" i="92"/>
  <c r="AG84" i="92"/>
  <c r="V123" i="92"/>
  <c r="X6" i="92"/>
  <c r="X26" i="92"/>
  <c r="AF116" i="92"/>
  <c r="AB82" i="92"/>
  <c r="Y7" i="92"/>
  <c r="Z6" i="92"/>
  <c r="AH20" i="92"/>
  <c r="V63" i="92"/>
  <c r="Y9" i="92"/>
  <c r="AC78" i="92"/>
  <c r="AD118" i="92"/>
  <c r="AB28" i="92"/>
  <c r="AJ124" i="92"/>
  <c r="AC6" i="92"/>
  <c r="AD134" i="92"/>
  <c r="AG93" i="92"/>
  <c r="AE118" i="92"/>
  <c r="AH78" i="92"/>
  <c r="AH54" i="92"/>
  <c r="AB80" i="92"/>
  <c r="AD84" i="92"/>
  <c r="Y28" i="92"/>
  <c r="AJ123" i="92"/>
  <c r="AG12" i="92"/>
  <c r="AJ33" i="92"/>
  <c r="AF11" i="92"/>
  <c r="AC119" i="92"/>
  <c r="W138" i="92"/>
  <c r="X85" i="92"/>
  <c r="AC20" i="92"/>
  <c r="AK99" i="92"/>
  <c r="AD11" i="92"/>
  <c r="Z43" i="92"/>
  <c r="Y77" i="92"/>
  <c r="AE78" i="92"/>
  <c r="AE54" i="92"/>
  <c r="Y80" i="92"/>
  <c r="AB98" i="92"/>
  <c r="AD28" i="92"/>
  <c r="Y41" i="92"/>
  <c r="X123" i="92"/>
  <c r="X82" i="92"/>
  <c r="AG26" i="92"/>
  <c r="AA99" i="92"/>
  <c r="AC138" i="92"/>
  <c r="Y29" i="92"/>
  <c r="W98" i="92"/>
  <c r="X41" i="92"/>
  <c r="X95" i="92"/>
  <c r="AJ29" i="92"/>
  <c r="AH71" i="92"/>
  <c r="AH135" i="92"/>
  <c r="AB62" i="92"/>
  <c r="Y131" i="92"/>
  <c r="AC41" i="92"/>
  <c r="AB66" i="92"/>
  <c r="AI76" i="92"/>
  <c r="AG99" i="92"/>
  <c r="AD85" i="92"/>
  <c r="AJ132" i="92"/>
  <c r="AI121" i="92"/>
  <c r="AC123" i="92"/>
  <c r="Y20" i="92"/>
  <c r="AG97" i="92"/>
  <c r="Y63" i="92"/>
  <c r="AG122" i="92"/>
  <c r="Y132" i="92"/>
  <c r="AD107" i="92"/>
  <c r="AE71" i="92"/>
  <c r="Z123" i="92"/>
  <c r="Z95" i="92"/>
  <c r="AH115" i="92"/>
  <c r="AG134" i="92"/>
  <c r="V109" i="92"/>
  <c r="AK77" i="92"/>
  <c r="AB109" i="92"/>
  <c r="V132" i="92"/>
  <c r="AG62" i="92"/>
  <c r="AD126" i="92"/>
  <c r="V131" i="92"/>
  <c r="AK79" i="92"/>
  <c r="AB41" i="92"/>
  <c r="Z41" i="92"/>
  <c r="W123" i="92"/>
  <c r="AF10" i="92"/>
  <c r="AB63" i="92"/>
  <c r="AG17" i="92"/>
  <c r="AH64" i="92"/>
  <c r="V98" i="92"/>
  <c r="AD78" i="92"/>
  <c r="W122" i="92"/>
  <c r="AB120" i="92"/>
  <c r="AG11" i="92"/>
  <c r="V62" i="92"/>
  <c r="W131" i="92"/>
  <c r="AJ99" i="92"/>
  <c r="AA54" i="92"/>
  <c r="AJ17" i="92"/>
  <c r="AH134" i="92"/>
  <c r="AG75" i="92"/>
  <c r="AF67" i="92"/>
  <c r="Y47" i="92"/>
  <c r="AE77" i="92"/>
  <c r="Z138" i="92"/>
  <c r="AB64" i="92"/>
  <c r="X99" i="92"/>
  <c r="X15" i="92"/>
  <c r="AJ131" i="92"/>
  <c r="Y66" i="92"/>
  <c r="Z63" i="92"/>
  <c r="X77" i="92"/>
  <c r="AB47" i="92"/>
  <c r="Y79" i="92"/>
  <c r="Y121" i="92"/>
  <c r="AE41" i="92"/>
  <c r="W97" i="92"/>
  <c r="AB97" i="92"/>
  <c r="Z11" i="92"/>
  <c r="Y85" i="92"/>
  <c r="AF135" i="92"/>
  <c r="V47" i="92"/>
  <c r="Y71" i="92"/>
  <c r="AB3" i="92"/>
  <c r="AG64" i="92"/>
  <c r="Y53" i="92"/>
  <c r="Y95" i="92"/>
  <c r="AC95" i="92"/>
  <c r="AH75" i="92"/>
  <c r="AJ135" i="92"/>
  <c r="AG107" i="92"/>
  <c r="AB58" i="92"/>
  <c r="AC3" i="92"/>
  <c r="AD64" i="92"/>
  <c r="AG42" i="92"/>
  <c r="Z76" i="92"/>
  <c r="AH17" i="92"/>
  <c r="Y128" i="92"/>
  <c r="AD26" i="92"/>
  <c r="Z47" i="92"/>
  <c r="AK67" i="92"/>
  <c r="AH73" i="92"/>
  <c r="AG126" i="92"/>
  <c r="AD43" i="92"/>
  <c r="X121" i="92"/>
  <c r="AC42" i="92"/>
  <c r="AJ20" i="92"/>
  <c r="V114" i="92"/>
  <c r="W82" i="92"/>
  <c r="V53" i="92"/>
  <c r="Y72" i="92"/>
  <c r="AD99" i="92"/>
  <c r="AK131" i="92"/>
  <c r="AD138" i="92"/>
  <c r="AD71" i="92"/>
  <c r="AJ121" i="92"/>
  <c r="AE42" i="92"/>
  <c r="AA20" i="92"/>
  <c r="AF108" i="92"/>
  <c r="X22" i="92"/>
  <c r="X52" i="92"/>
  <c r="Z16" i="92"/>
  <c r="X138" i="92"/>
  <c r="AE121" i="92"/>
  <c r="W67" i="92"/>
  <c r="Z4" i="92"/>
  <c r="AJ95" i="92"/>
  <c r="Z116" i="92"/>
  <c r="W22" i="92"/>
  <c r="AG4" i="92"/>
  <c r="AC74" i="92"/>
  <c r="AI42" i="92"/>
  <c r="AE24" i="92"/>
  <c r="AI27" i="92"/>
  <c r="AH10" i="92"/>
  <c r="AI41" i="92"/>
  <c r="W96" i="92"/>
  <c r="Y6" i="92"/>
  <c r="Y105" i="92"/>
  <c r="Z96" i="92"/>
  <c r="Y22" i="92"/>
  <c r="X73" i="92"/>
  <c r="Y15" i="92"/>
  <c r="AJ138" i="92"/>
  <c r="Y135" i="92"/>
  <c r="AA94" i="92"/>
  <c r="AE39" i="92"/>
  <c r="X74" i="92"/>
  <c r="Z99" i="92"/>
  <c r="AH98" i="92"/>
  <c r="AC33" i="92"/>
  <c r="AE15" i="92"/>
  <c r="X54" i="92"/>
  <c r="AH126" i="92"/>
  <c r="AD4" i="92"/>
  <c r="AB118" i="92"/>
  <c r="AH74" i="92"/>
  <c r="AE60" i="92"/>
  <c r="AI119" i="92"/>
  <c r="AG124" i="92"/>
  <c r="AK66" i="92"/>
  <c r="AD115" i="92"/>
  <c r="AC135" i="92"/>
  <c r="AF78" i="92"/>
  <c r="AJ74" i="92"/>
  <c r="AI77" i="92"/>
  <c r="AG118" i="92"/>
  <c r="AB84" i="92"/>
  <c r="AE74" i="92"/>
  <c r="V20" i="92"/>
  <c r="AF112" i="92"/>
  <c r="AB115" i="92"/>
  <c r="AB26" i="92"/>
  <c r="V11" i="92"/>
  <c r="AB123" i="92"/>
  <c r="S3" i="93"/>
  <c r="U3" i="93"/>
  <c r="T3" i="93"/>
  <c r="Z112" i="92" l="1"/>
  <c r="AJ82" i="92"/>
  <c r="AB6" i="92"/>
  <c r="AA76" i="92"/>
  <c r="AD56" i="92"/>
  <c r="AD42" i="92"/>
  <c r="V28" i="92"/>
  <c r="AB42" i="92"/>
  <c r="AD66" i="92"/>
  <c r="AG120" i="92"/>
  <c r="AK78" i="92"/>
  <c r="V6" i="92"/>
  <c r="AD135" i="92"/>
  <c r="AG3" i="92"/>
  <c r="AD33" i="92"/>
  <c r="AK138" i="92"/>
  <c r="V118" i="92"/>
  <c r="AD37" i="92"/>
  <c r="AJ4" i="92"/>
  <c r="Z20" i="92"/>
  <c r="AH6" i="92"/>
  <c r="Z121" i="92"/>
  <c r="AH43" i="92"/>
  <c r="AH26" i="92"/>
  <c r="AK20" i="92"/>
  <c r="AA71" i="92"/>
  <c r="AG56" i="92"/>
  <c r="AG9" i="92"/>
  <c r="AG77" i="92"/>
  <c r="Z75" i="92"/>
  <c r="AG41" i="92"/>
  <c r="Y74" i="92"/>
  <c r="V67" i="92"/>
  <c r="W64" i="92"/>
  <c r="AH33" i="92"/>
  <c r="AB124" i="92"/>
  <c r="AI17" i="92"/>
  <c r="W80" i="92"/>
  <c r="Z66" i="92"/>
  <c r="Z54" i="92"/>
  <c r="AG123" i="92"/>
  <c r="Y88" i="92"/>
  <c r="AA123" i="92"/>
  <c r="AB17" i="92"/>
  <c r="AB29" i="92"/>
  <c r="V41" i="92"/>
  <c r="AA73" i="92"/>
  <c r="Z78" i="92"/>
  <c r="AI99" i="92"/>
  <c r="AK4" i="92"/>
  <c r="AG85" i="92"/>
  <c r="AG80" i="92"/>
  <c r="AG95" i="92"/>
  <c r="Y84" i="92"/>
  <c r="Y39" i="92"/>
  <c r="AG125" i="92"/>
  <c r="AG23" i="92"/>
  <c r="AD77" i="92"/>
  <c r="AD63" i="92"/>
  <c r="V121" i="92"/>
  <c r="V4" i="92"/>
  <c r="AI6" i="92"/>
  <c r="AC26" i="92"/>
  <c r="AC99" i="92"/>
  <c r="AK7" i="92"/>
  <c r="AG28" i="92"/>
  <c r="AH55" i="92"/>
  <c r="AG132" i="92"/>
  <c r="AB73" i="92"/>
  <c r="AB33" i="92"/>
  <c r="Z71" i="92"/>
  <c r="AG7" i="92"/>
  <c r="AD123" i="92"/>
  <c r="V82" i="92"/>
  <c r="Y12" i="92"/>
  <c r="AB135" i="92"/>
  <c r="AJ66" i="92"/>
  <c r="W125" i="92"/>
  <c r="W43" i="92"/>
  <c r="W119" i="92"/>
  <c r="AK41" i="92"/>
  <c r="AC55" i="92"/>
  <c r="AC73" i="92"/>
  <c r="AF96" i="92"/>
  <c r="AF26" i="92"/>
  <c r="X116" i="92"/>
  <c r="AF6" i="92"/>
  <c r="AF95" i="92"/>
  <c r="AF50" i="92"/>
  <c r="AF75" i="92"/>
  <c r="AF41" i="92"/>
  <c r="AE58" i="92"/>
  <c r="W118" i="92"/>
  <c r="AE73" i="92"/>
  <c r="AB43" i="92"/>
  <c r="AD29" i="92"/>
  <c r="AF66" i="92"/>
  <c r="AK6" i="92"/>
  <c r="AA66" i="92"/>
  <c r="Z68" i="92"/>
  <c r="X42" i="92"/>
  <c r="AG71" i="92"/>
  <c r="Y109" i="92"/>
  <c r="AG20" i="92"/>
  <c r="AE4" i="92"/>
  <c r="X67" i="92"/>
  <c r="AD93" i="92"/>
  <c r="V3" i="92"/>
  <c r="Y107" i="92"/>
  <c r="AG34" i="92"/>
  <c r="AG96" i="92"/>
  <c r="Z85" i="92"/>
  <c r="AG63" i="92"/>
  <c r="AH41" i="92"/>
  <c r="W78" i="92"/>
  <c r="AE129" i="92"/>
  <c r="AE17" i="92"/>
  <c r="W79" i="92"/>
  <c r="Y64" i="92"/>
  <c r="AH95" i="92"/>
  <c r="AJ28" i="92"/>
  <c r="AH67" i="92"/>
  <c r="AD54" i="92"/>
  <c r="Z126" i="92"/>
  <c r="AB54" i="92"/>
  <c r="Y102" i="92"/>
  <c r="AG47" i="92"/>
  <c r="Z134" i="92"/>
  <c r="AJ98" i="92"/>
  <c r="AG53" i="92"/>
  <c r="AE122" i="92"/>
  <c r="AF121" i="92"/>
  <c r="Y97" i="92"/>
  <c r="AK42" i="92"/>
  <c r="AB131" i="92"/>
  <c r="W77" i="92"/>
  <c r="AE123" i="92"/>
  <c r="AG33" i="92"/>
  <c r="AD132" i="92"/>
  <c r="AK95" i="92"/>
  <c r="AJ63" i="92"/>
  <c r="Y26" i="92"/>
  <c r="AE126" i="92"/>
  <c r="Y99" i="92"/>
  <c r="X10" i="92"/>
  <c r="V10" i="92"/>
  <c r="V75" i="92"/>
  <c r="AA75" i="92"/>
  <c r="Z115" i="92"/>
  <c r="AJ76" i="92"/>
  <c r="AJ67" i="92"/>
  <c r="AD47" i="92"/>
  <c r="AD12" i="92"/>
  <c r="W15" i="92"/>
  <c r="Y75" i="92"/>
  <c r="Y4" i="92"/>
  <c r="AE92" i="92"/>
  <c r="AA27" i="92"/>
  <c r="AH76" i="92"/>
  <c r="AA119" i="92"/>
  <c r="AH16" i="92"/>
  <c r="AA121" i="92"/>
  <c r="AJ62" i="92"/>
  <c r="AD80" i="92"/>
  <c r="Y104" i="92"/>
  <c r="AG58" i="92"/>
  <c r="AG29" i="92"/>
  <c r="X20" i="92"/>
  <c r="AF82" i="92"/>
  <c r="V84" i="92"/>
  <c r="Y119" i="92"/>
  <c r="AK119" i="92"/>
  <c r="AH42" i="92"/>
  <c r="AF33" i="92"/>
  <c r="AH63" i="92"/>
  <c r="V58" i="92"/>
  <c r="AG43" i="92"/>
  <c r="AG131" i="92"/>
  <c r="X11" i="92"/>
  <c r="Z135" i="92"/>
  <c r="AE138" i="92"/>
  <c r="AF123" i="92"/>
  <c r="AK123" i="92"/>
  <c r="AA74" i="92"/>
  <c r="AJ58" i="92"/>
  <c r="AD109" i="92"/>
  <c r="AB132" i="92"/>
  <c r="AF85" i="92"/>
  <c r="Y134" i="92"/>
  <c r="AJ41" i="92"/>
  <c r="V43" i="92"/>
  <c r="AG129" i="92"/>
  <c r="AB74" i="92"/>
  <c r="AK54" i="92"/>
  <c r="AJ80" i="92"/>
  <c r="V85" i="92"/>
  <c r="Z64" i="92"/>
  <c r="Y108" i="92"/>
  <c r="Z17" i="92"/>
  <c r="AH4" i="92"/>
  <c r="Y45" i="92"/>
  <c r="Y17" i="92"/>
  <c r="AG128" i="92"/>
  <c r="V134" i="92"/>
  <c r="AD131" i="92"/>
  <c r="X108" i="92"/>
  <c r="W116" i="92"/>
  <c r="AK121" i="92"/>
  <c r="W71" i="92"/>
  <c r="AI95" i="92"/>
  <c r="AF52" i="92"/>
  <c r="AH77" i="92"/>
  <c r="AJ109" i="92"/>
  <c r="V64" i="92"/>
  <c r="AH123" i="92"/>
  <c r="X119" i="92"/>
  <c r="AE67" i="92"/>
  <c r="X55" i="92"/>
  <c r="Y93" i="92"/>
  <c r="Y126" i="92"/>
  <c r="AH96" i="92"/>
  <c r="AE131" i="92"/>
  <c r="AA41" i="92"/>
  <c r="AG105" i="92"/>
  <c r="AG66" i="92"/>
  <c r="AI54" i="92"/>
  <c r="AK3" i="92"/>
  <c r="AB138" i="92"/>
  <c r="Z73" i="92"/>
  <c r="AJ120" i="92"/>
  <c r="V99" i="92"/>
  <c r="AC77" i="92"/>
  <c r="Y122" i="92"/>
  <c r="W24" i="92"/>
  <c r="AJ84" i="92"/>
  <c r="AJ118" i="92"/>
  <c r="W41" i="92"/>
  <c r="AH116" i="92"/>
  <c r="AF22" i="92"/>
  <c r="AJ47" i="92"/>
  <c r="AF74" i="92"/>
  <c r="V138" i="92"/>
  <c r="AE96" i="92"/>
  <c r="AF77" i="92"/>
  <c r="AJ97" i="92"/>
  <c r="W39" i="92"/>
  <c r="Y11" i="92"/>
  <c r="AB99" i="92"/>
  <c r="AA77" i="92"/>
  <c r="AH138" i="92"/>
  <c r="W28" i="92"/>
  <c r="W60" i="92"/>
  <c r="AE97" i="92"/>
  <c r="AB121" i="92"/>
  <c r="AH11" i="92"/>
  <c r="AB95" i="92"/>
  <c r="AE98" i="92"/>
  <c r="AG6" i="92"/>
  <c r="AI20" i="92"/>
  <c r="AC131" i="92"/>
  <c r="AG121" i="92"/>
  <c r="W121" i="92"/>
  <c r="V71" i="92"/>
  <c r="AG79" i="92"/>
  <c r="Z74" i="92"/>
  <c r="AG73" i="92"/>
  <c r="AA39" i="92"/>
  <c r="AC67" i="92"/>
  <c r="W42" i="92"/>
  <c r="AH47" i="92"/>
  <c r="AC79" i="92"/>
  <c r="AD62" i="92"/>
  <c r="AD98" i="92"/>
  <c r="X78" i="92"/>
  <c r="AC66" i="92"/>
  <c r="V126" i="92"/>
  <c r="V26" i="92"/>
  <c r="Y62" i="92"/>
  <c r="Y42" i="92"/>
  <c r="Z10" i="92"/>
  <c r="Y124" i="92"/>
  <c r="V107" i="92"/>
  <c r="Y30" i="92"/>
  <c r="AG30" i="92"/>
  <c r="AB142" i="92"/>
  <c r="AJ142" i="92"/>
  <c r="AA19" i="92"/>
  <c r="AI19" i="92"/>
  <c r="AH99" i="92"/>
  <c r="Y118" i="92"/>
  <c r="AK74" i="92"/>
  <c r="AJ26" i="92"/>
  <c r="AB107" i="92"/>
  <c r="AJ107" i="92"/>
  <c r="AG67" i="92"/>
  <c r="Y67" i="92"/>
  <c r="W75" i="92"/>
  <c r="AE75" i="92"/>
  <c r="W29" i="92"/>
  <c r="AE29" i="92"/>
  <c r="AE13" i="92"/>
  <c r="W13" i="92"/>
  <c r="AJ103" i="92"/>
  <c r="AB103" i="92"/>
  <c r="AK27" i="92"/>
  <c r="AC27" i="92"/>
  <c r="AJ96" i="92"/>
  <c r="AB96" i="92"/>
  <c r="AK140" i="92"/>
  <c r="AC140" i="92"/>
  <c r="AB87" i="92"/>
  <c r="AJ87" i="92"/>
  <c r="AG103" i="92"/>
  <c r="Y103" i="92"/>
  <c r="W124" i="92"/>
  <c r="AE124" i="92"/>
  <c r="Y37" i="92"/>
  <c r="AG37" i="92"/>
  <c r="Y44" i="92"/>
  <c r="AG44" i="92"/>
  <c r="AK83" i="92"/>
  <c r="AC83" i="92"/>
  <c r="AK88" i="92"/>
  <c r="AC88" i="92"/>
  <c r="AA69" i="92"/>
  <c r="AI69" i="92"/>
  <c r="AE87" i="92"/>
  <c r="W87" i="92"/>
  <c r="X70" i="92"/>
  <c r="AF70" i="92"/>
  <c r="W83" i="92"/>
  <c r="AE83" i="92"/>
  <c r="V65" i="92"/>
  <c r="AD65" i="92"/>
  <c r="AK44" i="92"/>
  <c r="AC44" i="92"/>
  <c r="AC16" i="92"/>
  <c r="AK16" i="92"/>
  <c r="Z8" i="92"/>
  <c r="AH8" i="92"/>
  <c r="Z129" i="92"/>
  <c r="AH129" i="92"/>
  <c r="AF130" i="92"/>
  <c r="X130" i="92"/>
  <c r="AE7" i="92"/>
  <c r="W7" i="92"/>
  <c r="AH70" i="92"/>
  <c r="Z70" i="92"/>
  <c r="Z69" i="92"/>
  <c r="AH69" i="92"/>
  <c r="AA11" i="92"/>
  <c r="AI11" i="92"/>
  <c r="AB25" i="92"/>
  <c r="AJ25" i="92"/>
  <c r="AE40" i="92"/>
  <c r="W40" i="92"/>
  <c r="Z120" i="92"/>
  <c r="AH120" i="92"/>
  <c r="W81" i="92"/>
  <c r="AE81" i="92"/>
  <c r="AI85" i="92"/>
  <c r="AA85" i="92"/>
  <c r="V119" i="92"/>
  <c r="AD119" i="92"/>
  <c r="X89" i="92"/>
  <c r="AF89" i="92"/>
  <c r="V25" i="92"/>
  <c r="AD25" i="92"/>
  <c r="AF62" i="92"/>
  <c r="X62" i="92"/>
  <c r="AA106" i="92"/>
  <c r="AI106" i="92"/>
  <c r="AI8" i="92"/>
  <c r="AA8" i="92"/>
  <c r="Z56" i="92"/>
  <c r="AH56" i="92"/>
  <c r="AB27" i="92"/>
  <c r="AJ27" i="92"/>
  <c r="X113" i="92"/>
  <c r="AF113" i="92"/>
  <c r="AD27" i="92"/>
  <c r="V27" i="92"/>
  <c r="Y19" i="92"/>
  <c r="AG19" i="92"/>
  <c r="Y101" i="92"/>
  <c r="AG101" i="92"/>
  <c r="AA118" i="92"/>
  <c r="AI118" i="92"/>
  <c r="AB51" i="92"/>
  <c r="AJ51" i="92"/>
  <c r="AA108" i="92"/>
  <c r="AI108" i="92"/>
  <c r="V38" i="92"/>
  <c r="AD38" i="92"/>
  <c r="AE107" i="92"/>
  <c r="W107" i="92"/>
  <c r="V8" i="92"/>
  <c r="AD8" i="92"/>
  <c r="AC50" i="92"/>
  <c r="AK50" i="92"/>
  <c r="AC30" i="92"/>
  <c r="AK30" i="92"/>
  <c r="AK29" i="92"/>
  <c r="AC29" i="92"/>
  <c r="AH141" i="92"/>
  <c r="Z141" i="92"/>
  <c r="Y48" i="92"/>
  <c r="AG48" i="92"/>
  <c r="AE44" i="92"/>
  <c r="W44" i="92"/>
  <c r="AE141" i="92"/>
  <c r="W141" i="92"/>
  <c r="Y117" i="92"/>
  <c r="AG117" i="92"/>
  <c r="Z35" i="92"/>
  <c r="AH35" i="92"/>
  <c r="AA116" i="92"/>
  <c r="AI116" i="92"/>
  <c r="AI93" i="92"/>
  <c r="AA93" i="92"/>
  <c r="AG5" i="92"/>
  <c r="Y5" i="92"/>
  <c r="AD102" i="92"/>
  <c r="V102" i="92"/>
  <c r="AA64" i="92"/>
  <c r="AI64" i="92"/>
  <c r="AG135" i="92"/>
  <c r="AD20" i="92"/>
  <c r="AB20" i="92"/>
  <c r="V17" i="92"/>
  <c r="AD17" i="92"/>
  <c r="W115" i="92"/>
  <c r="AE115" i="92"/>
  <c r="AB130" i="92"/>
  <c r="AJ130" i="92"/>
  <c r="AE5" i="92"/>
  <c r="W5" i="92"/>
  <c r="AA22" i="92"/>
  <c r="AI22" i="92"/>
  <c r="Z19" i="92"/>
  <c r="AH19" i="92"/>
  <c r="AB55" i="92"/>
  <c r="AJ55" i="92"/>
  <c r="AI12" i="92"/>
  <c r="AA12" i="92"/>
  <c r="X94" i="92"/>
  <c r="AF94" i="92"/>
  <c r="AC92" i="92"/>
  <c r="AK92" i="92"/>
  <c r="AF84" i="92"/>
  <c r="X84" i="92"/>
  <c r="AF132" i="92"/>
  <c r="X132" i="92"/>
  <c r="W120" i="92"/>
  <c r="AE120" i="92"/>
  <c r="AB52" i="92"/>
  <c r="AJ52" i="92"/>
  <c r="AI5" i="92"/>
  <c r="AA5" i="92"/>
  <c r="AI139" i="92"/>
  <c r="AA139" i="92"/>
  <c r="V110" i="92"/>
  <c r="AD110" i="92"/>
  <c r="Z100" i="92"/>
  <c r="AH100" i="92"/>
  <c r="AK8" i="92"/>
  <c r="AC8" i="92"/>
  <c r="AC86" i="92"/>
  <c r="AK86" i="92"/>
  <c r="AJ102" i="92"/>
  <c r="AB102" i="92"/>
  <c r="Y35" i="92"/>
  <c r="AG35" i="92"/>
  <c r="AG100" i="92"/>
  <c r="Y100" i="92"/>
  <c r="AE90" i="92"/>
  <c r="W90" i="92"/>
  <c r="V9" i="92"/>
  <c r="AD9" i="92"/>
  <c r="Y46" i="92"/>
  <c r="AG46" i="92"/>
  <c r="Z9" i="92"/>
  <c r="AH9" i="92"/>
  <c r="AI49" i="92"/>
  <c r="AA49" i="92"/>
  <c r="AA44" i="92"/>
  <c r="AI44" i="92"/>
  <c r="AD108" i="92"/>
  <c r="V108" i="92"/>
  <c r="AE31" i="92"/>
  <c r="W31" i="92"/>
  <c r="AB77" i="92"/>
  <c r="AJ77" i="92"/>
  <c r="AE48" i="92"/>
  <c r="W48" i="92"/>
  <c r="V61" i="92"/>
  <c r="AD61" i="92"/>
  <c r="V112" i="92"/>
  <c r="AD112" i="92"/>
  <c r="Z62" i="92"/>
  <c r="AH62" i="92"/>
  <c r="AF93" i="92"/>
  <c r="X93" i="92"/>
  <c r="AF12" i="92"/>
  <c r="X12" i="92"/>
  <c r="AF27" i="92"/>
  <c r="X27" i="92"/>
  <c r="AJ35" i="92"/>
  <c r="AB35" i="92"/>
  <c r="AI4" i="92"/>
  <c r="AA4" i="92"/>
  <c r="W137" i="92"/>
  <c r="AE137" i="92"/>
  <c r="AB30" i="92"/>
  <c r="AJ30" i="92"/>
  <c r="X5" i="92"/>
  <c r="AF5" i="92"/>
  <c r="X63" i="92"/>
  <c r="AF63" i="92"/>
  <c r="AK112" i="92"/>
  <c r="AC112" i="92"/>
  <c r="AA31" i="92"/>
  <c r="AI31" i="92"/>
  <c r="AH51" i="92"/>
  <c r="Z51" i="92"/>
  <c r="AC75" i="92"/>
  <c r="AK75" i="92"/>
  <c r="AC53" i="92"/>
  <c r="AK53" i="92"/>
  <c r="Y52" i="92"/>
  <c r="AG52" i="92"/>
  <c r="AC61" i="92"/>
  <c r="AK61" i="92"/>
  <c r="AB10" i="92"/>
  <c r="AJ10" i="92"/>
  <c r="AB117" i="92"/>
  <c r="AJ117" i="92"/>
  <c r="AG27" i="92"/>
  <c r="Y27" i="92"/>
  <c r="X51" i="92"/>
  <c r="AF51" i="92"/>
  <c r="AD57" i="92"/>
  <c r="V57" i="92"/>
  <c r="AE10" i="92"/>
  <c r="W10" i="92"/>
  <c r="X59" i="92"/>
  <c r="AF59" i="92"/>
  <c r="AH136" i="92"/>
  <c r="Z136" i="92"/>
  <c r="Z59" i="92"/>
  <c r="AH59" i="92"/>
  <c r="AI45" i="92"/>
  <c r="AA45" i="92"/>
  <c r="AD70" i="92"/>
  <c r="V70" i="92"/>
  <c r="AD15" i="92"/>
  <c r="V15" i="92"/>
  <c r="AF35" i="92"/>
  <c r="X35" i="92"/>
  <c r="Z139" i="92"/>
  <c r="AH139" i="92"/>
  <c r="AK135" i="92"/>
  <c r="AF54" i="92"/>
  <c r="AJ3" i="92"/>
  <c r="X135" i="92"/>
  <c r="W99" i="92"/>
  <c r="AE99" i="92"/>
  <c r="V72" i="92"/>
  <c r="AD72" i="92"/>
  <c r="V23" i="92"/>
  <c r="AD23" i="92"/>
  <c r="AI130" i="92"/>
  <c r="AA130" i="92"/>
  <c r="AK100" i="92"/>
  <c r="AC100" i="92"/>
  <c r="AC62" i="92"/>
  <c r="AK62" i="92"/>
  <c r="AB69" i="92"/>
  <c r="AJ69" i="92"/>
  <c r="AI13" i="92"/>
  <c r="AA13" i="92"/>
  <c r="Z72" i="92"/>
  <c r="AH72" i="92"/>
  <c r="W88" i="92"/>
  <c r="AE88" i="92"/>
  <c r="AI107" i="92"/>
  <c r="AA107" i="92"/>
  <c r="W132" i="92"/>
  <c r="AE132" i="92"/>
  <c r="AE38" i="92"/>
  <c r="W38" i="92"/>
  <c r="AC43" i="92"/>
  <c r="AK43" i="92"/>
  <c r="AA117" i="92"/>
  <c r="AI117" i="92"/>
  <c r="Z107" i="92"/>
  <c r="AH107" i="92"/>
  <c r="AK19" i="92"/>
  <c r="AC19" i="92"/>
  <c r="AB113" i="92"/>
  <c r="AJ113" i="92"/>
  <c r="AF98" i="92"/>
  <c r="X98" i="92"/>
  <c r="AB60" i="92"/>
  <c r="AJ60" i="92"/>
  <c r="AB24" i="92"/>
  <c r="AJ24" i="92"/>
  <c r="AB5" i="92"/>
  <c r="AJ5" i="92"/>
  <c r="X140" i="92"/>
  <c r="AF140" i="92"/>
  <c r="AF39" i="92"/>
  <c r="X39" i="92"/>
  <c r="V19" i="92"/>
  <c r="AD19" i="92"/>
  <c r="W110" i="92"/>
  <c r="AE110" i="92"/>
  <c r="AF24" i="92"/>
  <c r="X24" i="92"/>
  <c r="AG87" i="92"/>
  <c r="Y87" i="92"/>
  <c r="AH117" i="92"/>
  <c r="Z117" i="92"/>
  <c r="AA28" i="92"/>
  <c r="AI28" i="92"/>
  <c r="AD88" i="92"/>
  <c r="V88" i="92"/>
  <c r="AD95" i="92"/>
  <c r="V95" i="92"/>
  <c r="AA98" i="92"/>
  <c r="AI98" i="92"/>
  <c r="V120" i="92"/>
  <c r="AD120" i="92"/>
  <c r="V48" i="92"/>
  <c r="AD48" i="92"/>
  <c r="Z142" i="92"/>
  <c r="AH142" i="92"/>
  <c r="X90" i="92"/>
  <c r="AF90" i="92"/>
  <c r="AD73" i="92"/>
  <c r="V73" i="92"/>
  <c r="V90" i="92"/>
  <c r="AD90" i="92"/>
  <c r="V97" i="92"/>
  <c r="AD97" i="92"/>
  <c r="W105" i="92"/>
  <c r="AE105" i="92"/>
  <c r="W23" i="92"/>
  <c r="AE23" i="92"/>
  <c r="AI34" i="92"/>
  <c r="AA34" i="92"/>
  <c r="AJ93" i="92"/>
  <c r="AB93" i="92"/>
  <c r="AJ12" i="92"/>
  <c r="AB12" i="92"/>
  <c r="X40" i="92"/>
  <c r="AF40" i="92"/>
  <c r="AH131" i="92"/>
  <c r="Z131" i="92"/>
  <c r="AD130" i="92"/>
  <c r="V130" i="92"/>
  <c r="Y50" i="92"/>
  <c r="AG50" i="92"/>
  <c r="AE100" i="92"/>
  <c r="W100" i="92"/>
  <c r="V31" i="92"/>
  <c r="AD31" i="92"/>
  <c r="AC45" i="92"/>
  <c r="AK45" i="92"/>
  <c r="AA25" i="92"/>
  <c r="AI25" i="92"/>
  <c r="AG38" i="92"/>
  <c r="Y38" i="92"/>
  <c r="AB61" i="92"/>
  <c r="AJ61" i="92"/>
  <c r="AA47" i="92"/>
  <c r="AI47" i="92"/>
  <c r="X134" i="92"/>
  <c r="AF134" i="92"/>
  <c r="AB38" i="92"/>
  <c r="AJ38" i="92"/>
  <c r="AB94" i="92"/>
  <c r="AJ94" i="92"/>
  <c r="AA60" i="92"/>
  <c r="AI60" i="92"/>
  <c r="AF76" i="92"/>
  <c r="X76" i="92"/>
  <c r="AF46" i="92"/>
  <c r="X46" i="92"/>
  <c r="AC22" i="92"/>
  <c r="AK22" i="92"/>
  <c r="AE130" i="92"/>
  <c r="W130" i="92"/>
  <c r="X14" i="92"/>
  <c r="AF14" i="92"/>
  <c r="AG130" i="92"/>
  <c r="Y130" i="92"/>
  <c r="AH94" i="92"/>
  <c r="Z94" i="92"/>
  <c r="AA129" i="92"/>
  <c r="AI129" i="92"/>
  <c r="V137" i="92"/>
  <c r="AD137" i="92"/>
  <c r="AC28" i="92"/>
  <c r="AK28" i="92"/>
  <c r="Y51" i="92"/>
  <c r="AG51" i="92"/>
  <c r="V115" i="92"/>
  <c r="AK33" i="92"/>
  <c r="V78" i="92"/>
  <c r="W74" i="92"/>
  <c r="AG98" i="92"/>
  <c r="W54" i="92"/>
  <c r="AD53" i="92"/>
  <c r="W84" i="92"/>
  <c r="AE84" i="92"/>
  <c r="V18" i="92"/>
  <c r="AD18" i="92"/>
  <c r="V55" i="92"/>
  <c r="AD55" i="92"/>
  <c r="AC141" i="92"/>
  <c r="AK141" i="92"/>
  <c r="Z113" i="92"/>
  <c r="AH113" i="92"/>
  <c r="AA51" i="92"/>
  <c r="AI51" i="92"/>
  <c r="AI138" i="92"/>
  <c r="AA138" i="92"/>
  <c r="AJ108" i="92"/>
  <c r="AB108" i="92"/>
  <c r="AG91" i="92"/>
  <c r="Y91" i="92"/>
  <c r="AF57" i="92"/>
  <c r="X57" i="92"/>
  <c r="AF128" i="92"/>
  <c r="X128" i="92"/>
  <c r="V136" i="92"/>
  <c r="AD136" i="92"/>
  <c r="AB8" i="92"/>
  <c r="AJ8" i="92"/>
  <c r="AC130" i="92"/>
  <c r="AK130" i="92"/>
  <c r="AH37" i="92"/>
  <c r="Z37" i="92"/>
  <c r="AG136" i="92"/>
  <c r="Y136" i="92"/>
  <c r="AI110" i="92"/>
  <c r="AA110" i="92"/>
  <c r="AH57" i="92"/>
  <c r="Z57" i="92"/>
  <c r="X136" i="92"/>
  <c r="AF136" i="92"/>
  <c r="AB116" i="92"/>
  <c r="AJ116" i="92"/>
  <c r="AI82" i="92"/>
  <c r="AA82" i="92"/>
  <c r="AI84" i="92"/>
  <c r="AA84" i="92"/>
  <c r="AF86" i="92"/>
  <c r="X86" i="92"/>
  <c r="AE37" i="92"/>
  <c r="W37" i="92"/>
  <c r="AC23" i="92"/>
  <c r="AK23" i="92"/>
  <c r="V81" i="92"/>
  <c r="AD81" i="92"/>
  <c r="X124" i="92"/>
  <c r="AF124" i="92"/>
  <c r="X106" i="92"/>
  <c r="AF106" i="92"/>
  <c r="AG31" i="92"/>
  <c r="Y31" i="92"/>
  <c r="AH106" i="92"/>
  <c r="Z106" i="92"/>
  <c r="W95" i="92"/>
  <c r="AE95" i="92"/>
  <c r="AI48" i="92"/>
  <c r="AA48" i="92"/>
  <c r="V87" i="92"/>
  <c r="AD87" i="92"/>
  <c r="W136" i="92"/>
  <c r="AE136" i="92"/>
  <c r="AC122" i="92"/>
  <c r="AK122" i="92"/>
  <c r="X133" i="92"/>
  <c r="AF133" i="92"/>
  <c r="Z45" i="92"/>
  <c r="AH45" i="92"/>
  <c r="X28" i="92"/>
  <c r="AF28" i="92"/>
  <c r="AF139" i="92"/>
  <c r="X139" i="92"/>
  <c r="Y114" i="92"/>
  <c r="AG114" i="92"/>
  <c r="AB85" i="92"/>
  <c r="AJ85" i="92"/>
  <c r="X103" i="92"/>
  <c r="AF103" i="92"/>
  <c r="AB100" i="92"/>
  <c r="AJ100" i="92"/>
  <c r="Z13" i="92"/>
  <c r="AH13" i="92"/>
  <c r="AB37" i="92"/>
  <c r="AJ37" i="92"/>
  <c r="Z118" i="92"/>
  <c r="AH118" i="92"/>
  <c r="AF7" i="92"/>
  <c r="X7" i="92"/>
  <c r="AH130" i="92"/>
  <c r="Z130" i="92"/>
  <c r="Y142" i="92"/>
  <c r="AG142" i="92"/>
  <c r="AE25" i="92"/>
  <c r="W25" i="92"/>
  <c r="AI58" i="92"/>
  <c r="AA58" i="92"/>
  <c r="AA113" i="92"/>
  <c r="AI113" i="92"/>
  <c r="AA142" i="92"/>
  <c r="AI142" i="92"/>
  <c r="W47" i="92"/>
  <c r="AE47" i="92"/>
  <c r="W114" i="92"/>
  <c r="AE114" i="92"/>
  <c r="AC5" i="92"/>
  <c r="AK5" i="92"/>
  <c r="AD40" i="92"/>
  <c r="V40" i="92"/>
  <c r="W140" i="92"/>
  <c r="AE140" i="92"/>
  <c r="X48" i="92"/>
  <c r="AF48" i="92"/>
  <c r="Y68" i="92"/>
  <c r="AG68" i="92"/>
  <c r="Z87" i="92"/>
  <c r="AH87" i="92"/>
  <c r="AF73" i="92"/>
  <c r="AE45" i="92"/>
  <c r="W45" i="92"/>
  <c r="Z44" i="92"/>
  <c r="AH44" i="92"/>
  <c r="X37" i="92"/>
  <c r="AF37" i="92"/>
  <c r="AG22" i="92"/>
  <c r="AG72" i="92"/>
  <c r="AD114" i="92"/>
  <c r="Z103" i="92"/>
  <c r="AH103" i="92"/>
  <c r="AC134" i="92"/>
  <c r="AK134" i="92"/>
  <c r="V35" i="92"/>
  <c r="AD35" i="92"/>
  <c r="AF97" i="92"/>
  <c r="X97" i="92"/>
  <c r="AK37" i="92"/>
  <c r="AC37" i="92"/>
  <c r="AJ14" i="92"/>
  <c r="AB14" i="92"/>
  <c r="X137" i="92"/>
  <c r="AF137" i="92"/>
  <c r="Y61" i="92"/>
  <c r="AG61" i="92"/>
  <c r="AD101" i="92"/>
  <c r="V101" i="92"/>
  <c r="X114" i="92"/>
  <c r="AF114" i="92"/>
  <c r="V49" i="92"/>
  <c r="AD49" i="92"/>
  <c r="AB16" i="92"/>
  <c r="AJ16" i="92"/>
  <c r="AG57" i="92"/>
  <c r="Y57" i="92"/>
  <c r="X120" i="92"/>
  <c r="AF120" i="92"/>
  <c r="X31" i="92"/>
  <c r="AF31" i="92"/>
  <c r="X142" i="92"/>
  <c r="AF142" i="92"/>
  <c r="V13" i="92"/>
  <c r="AD13" i="92"/>
  <c r="AI135" i="92"/>
  <c r="AA135" i="92"/>
  <c r="AI68" i="92"/>
  <c r="AA68" i="92"/>
  <c r="AA88" i="92"/>
  <c r="AI88" i="92"/>
  <c r="AE94" i="92"/>
  <c r="W94" i="92"/>
  <c r="AD133" i="92"/>
  <c r="V133" i="92"/>
  <c r="AJ91" i="92"/>
  <c r="AB91" i="92"/>
  <c r="AC109" i="92"/>
  <c r="AK109" i="92"/>
  <c r="AE142" i="92"/>
  <c r="W142" i="92"/>
  <c r="X104" i="92"/>
  <c r="AF104" i="92"/>
  <c r="AG141" i="92"/>
  <c r="Y141" i="92"/>
  <c r="Z90" i="92"/>
  <c r="AH90" i="92"/>
  <c r="AG15" i="92"/>
  <c r="AE82" i="92"/>
  <c r="W61" i="92"/>
  <c r="AE61" i="92"/>
  <c r="AB40" i="92"/>
  <c r="AJ40" i="92"/>
  <c r="AK101" i="92"/>
  <c r="AC101" i="92"/>
  <c r="AF15" i="92"/>
  <c r="AJ115" i="92"/>
  <c r="AE3" i="92"/>
  <c r="W3" i="92"/>
  <c r="Z29" i="92"/>
  <c r="AH29" i="92"/>
  <c r="AE86" i="92"/>
  <c r="W86" i="92"/>
  <c r="AD104" i="92"/>
  <c r="V104" i="92"/>
  <c r="Y14" i="92"/>
  <c r="AG14" i="92"/>
  <c r="AJ75" i="92"/>
  <c r="AB75" i="92"/>
  <c r="V117" i="92"/>
  <c r="AD117" i="92"/>
  <c r="Z46" i="92"/>
  <c r="AH46" i="92"/>
  <c r="AI46" i="92"/>
  <c r="AA46" i="92"/>
  <c r="AF17" i="92"/>
  <c r="X17" i="92"/>
  <c r="AK85" i="92"/>
  <c r="AC85" i="92"/>
  <c r="AC63" i="92"/>
  <c r="AK63" i="92"/>
  <c r="AK59" i="92"/>
  <c r="AC59" i="92"/>
  <c r="AC106" i="92"/>
  <c r="AK106" i="92"/>
  <c r="AI91" i="92"/>
  <c r="AA91" i="92"/>
  <c r="AG21" i="92"/>
  <c r="Y21" i="92"/>
  <c r="V50" i="92"/>
  <c r="AD50" i="92"/>
  <c r="X101" i="92"/>
  <c r="AF101" i="92"/>
  <c r="W18" i="92"/>
  <c r="AE18" i="92"/>
  <c r="AC84" i="92"/>
  <c r="AK84" i="92"/>
  <c r="AA97" i="92"/>
  <c r="AI97" i="92"/>
  <c r="AA56" i="92"/>
  <c r="AI56" i="92"/>
  <c r="AH3" i="92"/>
  <c r="Z3" i="92"/>
  <c r="V51" i="92"/>
  <c r="AD51" i="92"/>
  <c r="V139" i="92"/>
  <c r="AD139" i="92"/>
  <c r="AB57" i="92"/>
  <c r="AJ57" i="92"/>
  <c r="AK51" i="92"/>
  <c r="AC51" i="92"/>
  <c r="W27" i="92"/>
  <c r="AE27" i="92"/>
  <c r="AF141" i="92"/>
  <c r="X141" i="92"/>
  <c r="AF34" i="92"/>
  <c r="X34" i="92"/>
  <c r="Y69" i="92"/>
  <c r="AG69" i="92"/>
  <c r="V34" i="92"/>
  <c r="AD34" i="92"/>
  <c r="AF80" i="92"/>
  <c r="X80" i="92"/>
  <c r="Z84" i="92"/>
  <c r="AH84" i="92"/>
  <c r="AD125" i="92"/>
  <c r="V125" i="92"/>
  <c r="W12" i="92"/>
  <c r="AE12" i="92"/>
  <c r="AC118" i="92"/>
  <c r="AK118" i="92"/>
  <c r="Y13" i="92"/>
  <c r="AG13" i="92"/>
  <c r="AA26" i="92"/>
  <c r="AI26" i="92"/>
  <c r="AK38" i="92"/>
  <c r="AC38" i="92"/>
  <c r="Y8" i="92"/>
  <c r="AG8" i="92"/>
  <c r="W59" i="92"/>
  <c r="AE59" i="92"/>
  <c r="AK117" i="92"/>
  <c r="AC117" i="92"/>
  <c r="AB19" i="92"/>
  <c r="AJ19" i="92"/>
  <c r="AJ71" i="92"/>
  <c r="AB71" i="92"/>
  <c r="AC87" i="92"/>
  <c r="AK87" i="92"/>
  <c r="AA35" i="92"/>
  <c r="AI35" i="92"/>
  <c r="AF117" i="92"/>
  <c r="X117" i="92"/>
  <c r="AK47" i="92"/>
  <c r="AC47" i="92"/>
  <c r="V45" i="92"/>
  <c r="AD45" i="92"/>
  <c r="AK57" i="92"/>
  <c r="AC57" i="92"/>
  <c r="AC104" i="92"/>
  <c r="AK104" i="92"/>
  <c r="AA63" i="92"/>
  <c r="AI63" i="92"/>
  <c r="Z60" i="92"/>
  <c r="AH60" i="92"/>
  <c r="Z97" i="92"/>
  <c r="AH97" i="92"/>
  <c r="V100" i="92"/>
  <c r="AD100" i="92"/>
  <c r="AJ34" i="92"/>
  <c r="AB34" i="92"/>
  <c r="AB18" i="92"/>
  <c r="AJ18" i="92"/>
  <c r="AK110" i="92"/>
  <c r="AC110" i="92"/>
  <c r="V68" i="92"/>
  <c r="AD68" i="92"/>
  <c r="AE51" i="92"/>
  <c r="W51" i="92"/>
  <c r="AF92" i="92"/>
  <c r="X92" i="92"/>
  <c r="Y76" i="92"/>
  <c r="AG76" i="92"/>
  <c r="AE50" i="92"/>
  <c r="W50" i="92"/>
  <c r="V96" i="92"/>
  <c r="AD96" i="92"/>
  <c r="Z119" i="92"/>
  <c r="AH119" i="92"/>
  <c r="AC71" i="92"/>
  <c r="AK71" i="92"/>
  <c r="Z122" i="92"/>
  <c r="AH122" i="92"/>
  <c r="W26" i="92"/>
  <c r="AE26" i="92"/>
  <c r="AI102" i="92"/>
  <c r="AA102" i="92"/>
  <c r="AA70" i="92"/>
  <c r="AI70" i="92"/>
  <c r="AC94" i="92"/>
  <c r="AK94" i="92"/>
  <c r="AH21" i="92"/>
  <c r="Z21" i="92"/>
  <c r="AE69" i="92"/>
  <c r="W69" i="92"/>
  <c r="AE46" i="92"/>
  <c r="W46" i="92"/>
  <c r="AC103" i="92"/>
  <c r="AK103" i="92"/>
  <c r="AH91" i="92"/>
  <c r="Z91" i="92"/>
  <c r="AA132" i="92"/>
  <c r="AI132" i="92"/>
  <c r="AB140" i="92"/>
  <c r="AJ140" i="92"/>
  <c r="AI83" i="92"/>
  <c r="AA83" i="92"/>
  <c r="X88" i="92"/>
  <c r="AF88" i="92"/>
  <c r="AC13" i="92"/>
  <c r="AK13" i="92"/>
  <c r="AK12" i="92"/>
  <c r="AC12" i="92"/>
  <c r="AK14" i="92"/>
  <c r="AC14" i="92"/>
  <c r="AB72" i="92"/>
  <c r="AJ72" i="92"/>
  <c r="AH15" i="92"/>
  <c r="Z15" i="92"/>
  <c r="Z7" i="92"/>
  <c r="AH7" i="92"/>
  <c r="Z124" i="92"/>
  <c r="AH124" i="92"/>
  <c r="AK10" i="92"/>
  <c r="AC10" i="92"/>
  <c r="AB110" i="92"/>
  <c r="AJ110" i="92"/>
  <c r="AJ70" i="92"/>
  <c r="AB70" i="92"/>
  <c r="AK107" i="92"/>
  <c r="AC107" i="92"/>
  <c r="AK15" i="92"/>
  <c r="AC15" i="92"/>
  <c r="W16" i="92"/>
  <c r="AE16" i="92"/>
  <c r="AF118" i="92"/>
  <c r="X118" i="92"/>
  <c r="AG40" i="92"/>
  <c r="Y40" i="92"/>
  <c r="AI62" i="92"/>
  <c r="AA62" i="92"/>
  <c r="W109" i="92"/>
  <c r="AE109" i="92"/>
  <c r="V44" i="92"/>
  <c r="AD44" i="92"/>
  <c r="AJ9" i="92"/>
  <c r="AB9" i="92"/>
  <c r="W33" i="92"/>
  <c r="AE33" i="92"/>
  <c r="AA43" i="92"/>
  <c r="AI43" i="92"/>
  <c r="AA126" i="92"/>
  <c r="AI126" i="92"/>
  <c r="AI136" i="92"/>
  <c r="AA136" i="92"/>
  <c r="W112" i="92"/>
  <c r="AE112" i="92"/>
  <c r="AI65" i="92"/>
  <c r="AA65" i="92"/>
  <c r="AC24" i="92"/>
  <c r="AK24" i="92"/>
  <c r="AD5" i="92"/>
  <c r="V5" i="92"/>
  <c r="AB59" i="92"/>
  <c r="AJ59" i="92"/>
  <c r="AG49" i="92"/>
  <c r="Y49" i="92"/>
  <c r="Z65" i="92"/>
  <c r="AH65" i="92"/>
  <c r="AB65" i="92"/>
  <c r="AJ65" i="92"/>
  <c r="AH105" i="92"/>
  <c r="Z105" i="92"/>
  <c r="AE117" i="92"/>
  <c r="W117" i="92"/>
  <c r="AK49" i="92"/>
  <c r="AC49" i="92"/>
  <c r="AK116" i="92"/>
  <c r="AC116" i="92"/>
  <c r="AC21" i="92"/>
  <c r="AK21" i="92"/>
  <c r="AB81" i="92"/>
  <c r="AJ81" i="92"/>
  <c r="AH108" i="92"/>
  <c r="Z108" i="92"/>
  <c r="Z86" i="92"/>
  <c r="AH86" i="92"/>
  <c r="Y24" i="92"/>
  <c r="AG24" i="92"/>
  <c r="AC132" i="92"/>
  <c r="AK132" i="92"/>
  <c r="AB46" i="92"/>
  <c r="AJ46" i="92"/>
  <c r="AI137" i="92"/>
  <c r="AA137" i="92"/>
  <c r="AK40" i="92"/>
  <c r="AC40" i="92"/>
  <c r="AC133" i="92"/>
  <c r="AK133" i="92"/>
  <c r="W19" i="92"/>
  <c r="AE19" i="92"/>
  <c r="X129" i="92"/>
  <c r="AF129" i="92"/>
  <c r="AF47" i="92"/>
  <c r="X47" i="92"/>
  <c r="AB78" i="92"/>
  <c r="AJ78" i="92"/>
  <c r="V59" i="92"/>
  <c r="AD59" i="92"/>
  <c r="AD22" i="92"/>
  <c r="V22" i="92"/>
  <c r="Y78" i="92"/>
  <c r="AG78" i="92"/>
  <c r="V39" i="92"/>
  <c r="AD39" i="92"/>
  <c r="AI33" i="92"/>
  <c r="AA33" i="92"/>
  <c r="W135" i="92"/>
  <c r="AE135" i="92"/>
  <c r="W139" i="92"/>
  <c r="AE139" i="92"/>
  <c r="AG82" i="92"/>
  <c r="Y82" i="92"/>
  <c r="W6" i="92"/>
  <c r="AE6" i="92"/>
  <c r="Z27" i="92"/>
  <c r="AH27" i="92"/>
  <c r="AE102" i="92"/>
  <c r="W102" i="92"/>
  <c r="AF109" i="92"/>
  <c r="X109" i="92"/>
  <c r="AF58" i="92"/>
  <c r="X58" i="92"/>
  <c r="X105" i="92"/>
  <c r="AF105" i="92"/>
  <c r="AC81" i="92"/>
  <c r="AK81" i="92"/>
  <c r="Y60" i="92"/>
  <c r="AG60" i="92"/>
  <c r="AC60" i="92"/>
  <c r="AK60" i="92"/>
  <c r="AB39" i="92"/>
  <c r="AJ39" i="92"/>
  <c r="W128" i="92"/>
  <c r="AE128" i="92"/>
  <c r="W49" i="92"/>
  <c r="AE49" i="92"/>
  <c r="AA15" i="92"/>
  <c r="AI15" i="92"/>
  <c r="Z14" i="92"/>
  <c r="AH14" i="92"/>
  <c r="V105" i="92"/>
  <c r="AD105" i="92"/>
  <c r="AJ133" i="92"/>
  <c r="AB133" i="92"/>
  <c r="AK70" i="92"/>
  <c r="AC70" i="92"/>
  <c r="AB79" i="92"/>
  <c r="AJ79" i="92"/>
  <c r="AB88" i="92"/>
  <c r="AJ88" i="92"/>
  <c r="AH61" i="92"/>
  <c r="Z61" i="92"/>
  <c r="Y55" i="92"/>
  <c r="AG55" i="92"/>
  <c r="Y112" i="92"/>
  <c r="AG112" i="92"/>
  <c r="AK18" i="92"/>
  <c r="AC18" i="92"/>
  <c r="AI59" i="92"/>
  <c r="AA59" i="92"/>
  <c r="AA131" i="92"/>
  <c r="AI131" i="92"/>
  <c r="AB106" i="92"/>
  <c r="AJ106" i="92"/>
  <c r="AC97" i="92"/>
  <c r="AK97" i="92"/>
  <c r="AD30" i="92"/>
  <c r="V30" i="92"/>
  <c r="AE133" i="92"/>
  <c r="W133" i="92"/>
  <c r="AF45" i="92"/>
  <c r="X45" i="92"/>
  <c r="V60" i="92"/>
  <c r="AD60" i="92"/>
  <c r="AH101" i="92"/>
  <c r="Z101" i="92"/>
  <c r="Y89" i="92"/>
  <c r="AG89" i="92"/>
  <c r="W11" i="92"/>
  <c r="AE11" i="92"/>
  <c r="AF131" i="92"/>
  <c r="X131" i="92"/>
  <c r="W34" i="92"/>
  <c r="AE34" i="92"/>
  <c r="AH137" i="92"/>
  <c r="Z137" i="92"/>
  <c r="AK58" i="92"/>
  <c r="AC58" i="92"/>
  <c r="AB23" i="92"/>
  <c r="AJ23" i="92"/>
  <c r="AC142" i="92"/>
  <c r="AK142" i="92"/>
  <c r="AC35" i="92"/>
  <c r="AK35" i="92"/>
  <c r="AJ139" i="92"/>
  <c r="AB139" i="92"/>
  <c r="AC102" i="92"/>
  <c r="AK102" i="92"/>
  <c r="AK126" i="92"/>
  <c r="AC126" i="92"/>
  <c r="AA81" i="92"/>
  <c r="AI81" i="92"/>
  <c r="Y113" i="92"/>
  <c r="AG113" i="92"/>
  <c r="AH93" i="92"/>
  <c r="Z93" i="92"/>
  <c r="AJ53" i="92"/>
  <c r="AB53" i="92"/>
  <c r="AJ128" i="92"/>
  <c r="AB128" i="92"/>
  <c r="AB112" i="92"/>
  <c r="AJ112" i="92"/>
  <c r="AA50" i="92"/>
  <c r="AI50" i="92"/>
  <c r="Y133" i="92"/>
  <c r="AG133" i="92"/>
  <c r="Y25" i="92"/>
  <c r="AG25" i="92"/>
  <c r="AF3" i="92"/>
  <c r="X3" i="92"/>
  <c r="AC124" i="92"/>
  <c r="AK124" i="92"/>
  <c r="AA24" i="92"/>
  <c r="AI24" i="92"/>
  <c r="AA103" i="92"/>
  <c r="AI103" i="92"/>
  <c r="AB48" i="92"/>
  <c r="AJ48" i="92"/>
  <c r="AC125" i="92"/>
  <c r="AK125" i="92"/>
  <c r="AC31" i="92"/>
  <c r="AK31" i="92"/>
  <c r="AE14" i="92"/>
  <c r="W14" i="92"/>
  <c r="AF107" i="92"/>
  <c r="X107" i="92"/>
  <c r="W56" i="92"/>
  <c r="AE56" i="92"/>
  <c r="X126" i="92"/>
  <c r="AF126" i="92"/>
  <c r="V113" i="92"/>
  <c r="AD113" i="92"/>
  <c r="W134" i="92"/>
  <c r="AE134" i="92"/>
  <c r="AA124" i="92"/>
  <c r="AI124" i="92"/>
  <c r="AH12" i="92"/>
  <c r="Z12" i="92"/>
  <c r="AB15" i="92"/>
  <c r="AJ15" i="92"/>
  <c r="AA14" i="92"/>
  <c r="AI14" i="92"/>
  <c r="AC65" i="92"/>
  <c r="AK65" i="92"/>
  <c r="AK114" i="92"/>
  <c r="AC114" i="92"/>
  <c r="AI128" i="92"/>
  <c r="AA128" i="92"/>
  <c r="AK108" i="92"/>
  <c r="AC108" i="92"/>
  <c r="AC11" i="92"/>
  <c r="AK11" i="92"/>
  <c r="AA90" i="92"/>
  <c r="AI90" i="92"/>
  <c r="AG115" i="92"/>
  <c r="Y115" i="92"/>
  <c r="AJ44" i="92"/>
  <c r="AB44" i="92"/>
  <c r="AA89" i="92"/>
  <c r="AI89" i="92"/>
  <c r="AB56" i="92"/>
  <c r="AJ56" i="92"/>
  <c r="AA3" i="92"/>
  <c r="AI3" i="92"/>
  <c r="AA30" i="92"/>
  <c r="AI30" i="92"/>
  <c r="Y90" i="92"/>
  <c r="AG90" i="92"/>
  <c r="X102" i="92"/>
  <c r="AF102" i="92"/>
  <c r="AF68" i="92"/>
  <c r="X68" i="92"/>
  <c r="AB119" i="92"/>
  <c r="AJ119" i="92"/>
  <c r="AI18" i="92"/>
  <c r="AA18" i="92"/>
  <c r="AH109" i="92"/>
  <c r="Z109" i="92"/>
  <c r="AJ104" i="92"/>
  <c r="AB104" i="92"/>
  <c r="AK139" i="92"/>
  <c r="AC139" i="92"/>
  <c r="AC137" i="92"/>
  <c r="AK137" i="92"/>
  <c r="AE21" i="92"/>
  <c r="W21" i="92"/>
  <c r="X100" i="92"/>
  <c r="AF100" i="92"/>
  <c r="AI86" i="92"/>
  <c r="AA86" i="92"/>
  <c r="W68" i="92"/>
  <c r="AE68" i="92"/>
  <c r="AD24" i="92"/>
  <c r="V24" i="92"/>
  <c r="V7" i="92"/>
  <c r="AD7" i="92"/>
  <c r="AE101" i="92"/>
  <c r="W101" i="92"/>
  <c r="AC91" i="92"/>
  <c r="AK91" i="92"/>
  <c r="AB141" i="92"/>
  <c r="AJ141" i="92"/>
  <c r="AK136" i="92"/>
  <c r="AC136" i="92"/>
  <c r="AA133" i="92"/>
  <c r="AI133" i="92"/>
  <c r="Y110" i="92"/>
  <c r="AG110" i="92"/>
  <c r="AB114" i="92"/>
  <c r="AJ114" i="92"/>
  <c r="AB89" i="92"/>
  <c r="AJ89" i="92"/>
  <c r="AA9" i="92"/>
  <c r="AI9" i="92"/>
  <c r="AC56" i="92"/>
  <c r="AK56" i="92"/>
  <c r="AK46" i="92"/>
  <c r="AC46" i="92"/>
  <c r="Z34" i="92"/>
  <c r="AH34" i="92"/>
  <c r="AF79" i="92"/>
  <c r="X79" i="92"/>
  <c r="AE108" i="92"/>
  <c r="W108" i="92"/>
  <c r="AI87" i="92"/>
  <c r="AA87" i="92"/>
  <c r="AA122" i="92"/>
  <c r="AI122" i="92"/>
  <c r="AA80" i="92"/>
  <c r="AI80" i="92"/>
  <c r="AI115" i="92"/>
  <c r="AA115" i="92"/>
  <c r="X60" i="92"/>
  <c r="AF60" i="92"/>
  <c r="AF110" i="92"/>
  <c r="X110" i="92"/>
  <c r="AF61" i="92"/>
  <c r="X61" i="92"/>
  <c r="AB7" i="92"/>
  <c r="AJ7" i="92"/>
  <c r="AA100" i="92"/>
  <c r="AI100" i="92"/>
  <c r="AH81" i="92"/>
  <c r="Z81" i="92"/>
  <c r="AB101" i="92"/>
  <c r="AJ101" i="92"/>
  <c r="AB122" i="92"/>
  <c r="AJ122" i="92"/>
  <c r="AK68" i="92"/>
  <c r="AC68" i="92"/>
  <c r="V142" i="92"/>
  <c r="AD142" i="92"/>
  <c r="W55" i="92"/>
  <c r="AE55" i="92"/>
  <c r="AD16" i="92"/>
  <c r="V16" i="92"/>
  <c r="Y138" i="92"/>
  <c r="AG138" i="92"/>
  <c r="V74" i="92"/>
  <c r="AD74" i="92"/>
  <c r="AE20" i="92"/>
  <c r="W20" i="92"/>
  <c r="V91" i="92"/>
  <c r="AD91" i="92"/>
  <c r="AH92" i="92"/>
  <c r="Z92" i="92"/>
  <c r="Y116" i="92"/>
  <c r="AG116" i="92"/>
  <c r="AB129" i="92"/>
  <c r="AJ129" i="92"/>
  <c r="Z132" i="92"/>
  <c r="AH132" i="92"/>
  <c r="AH110" i="92"/>
  <c r="Z110" i="92"/>
  <c r="X19" i="92"/>
  <c r="AF19" i="92"/>
  <c r="AI112" i="92"/>
  <c r="AA112" i="92"/>
  <c r="AB68" i="92"/>
  <c r="AJ68" i="92"/>
  <c r="AH82" i="92"/>
  <c r="Z82" i="92"/>
  <c r="AJ126" i="92"/>
  <c r="AB126" i="92"/>
  <c r="AB105" i="92"/>
  <c r="AJ105" i="92"/>
  <c r="Z53" i="92"/>
  <c r="AH53" i="92"/>
  <c r="AF29" i="92"/>
  <c r="X29" i="92"/>
  <c r="AC48" i="92"/>
  <c r="AK48" i="92"/>
  <c r="AI61" i="92"/>
  <c r="AA61" i="92"/>
  <c r="AA23" i="92"/>
  <c r="AI23" i="92"/>
  <c r="AA101" i="92"/>
  <c r="AI101" i="92"/>
  <c r="Z48" i="92"/>
  <c r="AH48" i="92"/>
  <c r="AF87" i="92"/>
  <c r="X87" i="92"/>
  <c r="AF25" i="92"/>
  <c r="X25" i="92"/>
  <c r="W106" i="92"/>
  <c r="AE106" i="92"/>
  <c r="AB86" i="92"/>
  <c r="AJ86" i="92"/>
  <c r="AH50" i="92"/>
  <c r="Z50" i="92"/>
  <c r="Z25" i="92"/>
  <c r="AH25" i="92"/>
  <c r="AI105" i="92"/>
  <c r="AA105" i="92"/>
  <c r="AB92" i="92"/>
  <c r="AJ92" i="92"/>
  <c r="AK90" i="92"/>
  <c r="AC90" i="92"/>
  <c r="AC69" i="92"/>
  <c r="AK69" i="92"/>
  <c r="W9" i="92"/>
  <c r="AE9" i="92"/>
  <c r="AA78" i="92"/>
  <c r="AI78" i="92"/>
  <c r="AH28" i="92"/>
  <c r="Z28" i="92"/>
  <c r="AG137" i="92"/>
  <c r="Y137" i="92"/>
  <c r="AK113" i="92"/>
  <c r="AC113" i="92"/>
  <c r="AG54" i="92"/>
  <c r="Y54" i="92"/>
  <c r="AA55" i="92"/>
  <c r="AI55" i="92"/>
  <c r="AB13" i="92"/>
  <c r="AJ13" i="92"/>
  <c r="V69" i="92"/>
  <c r="AD69" i="92"/>
  <c r="AH114" i="92"/>
  <c r="Z114" i="92"/>
  <c r="AF99" i="92"/>
  <c r="V21" i="92"/>
  <c r="AD21" i="92"/>
  <c r="AD83" i="92"/>
  <c r="V83" i="92"/>
  <c r="AD76" i="92"/>
  <c r="V76" i="92"/>
  <c r="V124" i="92"/>
  <c r="AD124" i="92"/>
  <c r="W63" i="92"/>
  <c r="AE63" i="92"/>
  <c r="AE76" i="92"/>
  <c r="W76" i="92"/>
  <c r="AC129" i="92"/>
  <c r="AK129" i="92"/>
  <c r="Z23" i="92"/>
  <c r="AH23" i="92"/>
  <c r="V14" i="92"/>
  <c r="AD14" i="92"/>
  <c r="X13" i="92"/>
  <c r="AF13" i="92"/>
  <c r="AE89" i="92"/>
  <c r="W89" i="92"/>
  <c r="AI57" i="92"/>
  <c r="AA57" i="92"/>
  <c r="Y106" i="92"/>
  <c r="AG106" i="92"/>
  <c r="AB136" i="92"/>
  <c r="AJ136" i="92"/>
  <c r="AI109" i="92"/>
  <c r="AA109" i="92"/>
  <c r="Y70" i="92"/>
  <c r="AG70" i="92"/>
  <c r="V122" i="92"/>
  <c r="AD122" i="92"/>
  <c r="AE113" i="92"/>
  <c r="W113" i="92"/>
  <c r="Z125" i="92"/>
  <c r="AH125" i="92"/>
  <c r="Z128" i="92"/>
  <c r="AH128" i="92"/>
  <c r="Z49" i="92"/>
  <c r="AH49" i="92"/>
  <c r="Y18" i="92"/>
  <c r="AG18" i="92"/>
  <c r="W72" i="92"/>
  <c r="AE72" i="92"/>
  <c r="AE30" i="92"/>
  <c r="W30" i="92"/>
  <c r="V140" i="92"/>
  <c r="AD140" i="92"/>
  <c r="AA79" i="92"/>
  <c r="AI79" i="92"/>
  <c r="Z40" i="92"/>
  <c r="AH40" i="92"/>
  <c r="Y94" i="92"/>
  <c r="AG94" i="92"/>
  <c r="AA134" i="92"/>
  <c r="AI134" i="92"/>
  <c r="AB21" i="92"/>
  <c r="AJ21" i="92"/>
  <c r="AB22" i="92"/>
  <c r="AJ22" i="92"/>
  <c r="AC76" i="92"/>
  <c r="AK76" i="92"/>
  <c r="V52" i="92"/>
  <c r="AD52" i="92"/>
  <c r="AE52" i="92"/>
  <c r="W52" i="92"/>
  <c r="W91" i="92"/>
  <c r="AE91" i="92"/>
  <c r="V116" i="92"/>
  <c r="AD116" i="92"/>
  <c r="V79" i="92"/>
  <c r="AD79" i="92"/>
  <c r="AH83" i="92"/>
  <c r="Z83" i="92"/>
  <c r="Z5" i="92"/>
  <c r="AH5" i="92"/>
  <c r="AC105" i="92"/>
  <c r="AK105" i="92"/>
  <c r="AC93" i="92"/>
  <c r="AK93" i="92"/>
  <c r="AA104" i="92"/>
  <c r="AI104" i="92"/>
  <c r="Y86" i="92"/>
  <c r="AG86" i="92"/>
  <c r="AI38" i="92"/>
  <c r="AA38" i="92"/>
  <c r="AA96" i="92"/>
  <c r="AI96" i="92"/>
  <c r="AF38" i="92"/>
  <c r="X38" i="92"/>
  <c r="AK89" i="92"/>
  <c r="AC89" i="92"/>
  <c r="AC98" i="92"/>
  <c r="AK98" i="92"/>
  <c r="Y81" i="92"/>
  <c r="AG81" i="92"/>
  <c r="Z88" i="92"/>
  <c r="AH88" i="92"/>
  <c r="Y16" i="92"/>
  <c r="AG16" i="92"/>
  <c r="AF122" i="92"/>
  <c r="X122" i="92"/>
  <c r="W8" i="92"/>
  <c r="AE8" i="92"/>
  <c r="AD89" i="92"/>
  <c r="V89" i="92"/>
  <c r="AD141" i="92"/>
  <c r="V141" i="92"/>
  <c r="AI52" i="92"/>
  <c r="AA52" i="92"/>
  <c r="AG92" i="92"/>
  <c r="Y92" i="92"/>
  <c r="X91" i="92"/>
  <c r="AF91" i="92"/>
  <c r="AI29" i="92"/>
  <c r="AA29" i="92"/>
  <c r="AA140" i="92"/>
  <c r="AI140" i="92"/>
  <c r="AJ11" i="92"/>
  <c r="AB11" i="92"/>
  <c r="AC25" i="92"/>
  <c r="AK25" i="92"/>
  <c r="AD128" i="92"/>
  <c r="V128" i="92"/>
  <c r="Z30" i="92"/>
  <c r="AH30" i="92"/>
  <c r="AE93" i="92"/>
  <c r="W93" i="92"/>
  <c r="W85" i="92"/>
  <c r="AE85" i="92"/>
  <c r="AC17" i="92"/>
  <c r="AK17" i="92"/>
  <c r="Z98" i="92"/>
  <c r="AA42" i="92"/>
  <c r="X112" i="92"/>
  <c r="AI10" i="92"/>
  <c r="AA10" i="92"/>
  <c r="AE53" i="92"/>
  <c r="W53" i="92"/>
  <c r="X4" i="92"/>
  <c r="AF4" i="92"/>
  <c r="AJ49" i="92"/>
  <c r="AB49" i="92"/>
  <c r="AF8" i="92"/>
  <c r="X8" i="92"/>
  <c r="AK52" i="92"/>
  <c r="AC52" i="92"/>
  <c r="AI7" i="92"/>
  <c r="AA7" i="92"/>
  <c r="AB137" i="92"/>
  <c r="AJ137" i="92"/>
  <c r="AK96" i="92"/>
  <c r="AC96" i="92"/>
  <c r="Z58" i="92"/>
  <c r="AH58" i="92"/>
  <c r="X64" i="92"/>
  <c r="AF64" i="92"/>
  <c r="AA125" i="92"/>
  <c r="AI125" i="92"/>
  <c r="AI114" i="92"/>
  <c r="AA114" i="92"/>
  <c r="X56" i="92"/>
  <c r="AF56" i="92"/>
  <c r="Y59" i="92"/>
  <c r="AG59" i="92"/>
  <c r="AC39" i="92"/>
  <c r="AK39" i="92"/>
  <c r="AF72" i="92"/>
  <c r="X72" i="92"/>
  <c r="Y65" i="92"/>
  <c r="AG65" i="92"/>
  <c r="AF43" i="92"/>
  <c r="X43" i="92"/>
  <c r="X18" i="92"/>
  <c r="AF18" i="92"/>
  <c r="AE70" i="92"/>
  <c r="W70" i="92"/>
  <c r="AD86" i="92"/>
  <c r="V86" i="92"/>
  <c r="AA16" i="92"/>
  <c r="AI16" i="92"/>
  <c r="AI40" i="92"/>
  <c r="AA40" i="92"/>
  <c r="Y139" i="92"/>
  <c r="AG139" i="92"/>
  <c r="AF81" i="92"/>
  <c r="X81" i="92"/>
  <c r="Z31" i="92"/>
  <c r="AH31" i="92"/>
  <c r="AA92" i="92"/>
  <c r="AI92" i="92"/>
  <c r="AB90" i="92"/>
  <c r="AJ90" i="92"/>
  <c r="AC115" i="92"/>
  <c r="AK115" i="92"/>
  <c r="AJ125" i="92"/>
  <c r="AB125" i="92"/>
  <c r="AE22" i="92"/>
  <c r="AJ64" i="92"/>
  <c r="AF138" i="92"/>
  <c r="AI94" i="92"/>
  <c r="AH79" i="92"/>
  <c r="Z79" i="92"/>
  <c r="AF71" i="92"/>
  <c r="X71" i="92"/>
  <c r="AH38" i="92"/>
  <c r="Z38" i="92"/>
  <c r="W66" i="92"/>
  <c r="AE66" i="92"/>
  <c r="AA21" i="92"/>
  <c r="AI21" i="92"/>
  <c r="AD46" i="92"/>
  <c r="V46" i="92"/>
  <c r="AE65" i="92"/>
  <c r="W65" i="92"/>
  <c r="AF9" i="92"/>
  <c r="X9" i="92"/>
  <c r="AI67" i="92"/>
  <c r="AA67" i="92"/>
  <c r="AK9" i="92"/>
  <c r="AC9" i="92"/>
  <c r="Z80" i="92"/>
  <c r="AH80" i="92"/>
  <c r="X83" i="92"/>
  <c r="AF83" i="92"/>
  <c r="AH89" i="92"/>
  <c r="Z89" i="92"/>
  <c r="Z102" i="92"/>
  <c r="AH102" i="92"/>
  <c r="W35" i="92"/>
  <c r="AE35" i="92"/>
  <c r="AC34" i="92"/>
  <c r="AK34" i="92"/>
  <c r="AC120" i="92"/>
  <c r="AK120" i="92"/>
  <c r="AF23" i="92"/>
  <c r="X23" i="92"/>
  <c r="X69" i="92"/>
  <c r="AF69" i="92"/>
  <c r="X16" i="92"/>
  <c r="AF16" i="92"/>
  <c r="W62" i="92"/>
  <c r="AE62" i="92"/>
  <c r="AD103" i="92"/>
  <c r="V103" i="92"/>
  <c r="AC82" i="92"/>
  <c r="AK82" i="92"/>
  <c r="AI141" i="92"/>
  <c r="AA141" i="92"/>
  <c r="AH140" i="92"/>
  <c r="Z140" i="92"/>
  <c r="X44" i="92"/>
  <c r="AF44" i="92"/>
  <c r="X125" i="92"/>
  <c r="AF125" i="92"/>
  <c r="AH24" i="92"/>
  <c r="Z24" i="92"/>
  <c r="AA53" i="92"/>
  <c r="AI53" i="92"/>
  <c r="AI72" i="92"/>
  <c r="AA72" i="92"/>
  <c r="AB50" i="92"/>
  <c r="AJ50" i="92"/>
  <c r="W104" i="92"/>
  <c r="AE104" i="92"/>
  <c r="V129" i="92"/>
  <c r="AD129" i="92"/>
  <c r="AD92" i="92"/>
  <c r="V92" i="92"/>
  <c r="V94" i="92"/>
  <c r="AD94" i="92"/>
  <c r="AG140" i="92"/>
  <c r="Y140" i="92"/>
  <c r="Y83" i="92"/>
  <c r="AG83" i="92"/>
  <c r="AB83" i="92"/>
  <c r="AJ83" i="92"/>
  <c r="Z133" i="92"/>
  <c r="AH133" i="92"/>
  <c r="AC128" i="92"/>
  <c r="AK128" i="92"/>
  <c r="X53" i="92"/>
  <c r="AF53" i="92"/>
  <c r="AB31" i="92"/>
  <c r="AJ31" i="92"/>
  <c r="Y10" i="92"/>
  <c r="AG10" i="92"/>
  <c r="AE57" i="92"/>
  <c r="W57" i="92"/>
  <c r="AH52" i="92"/>
  <c r="Z52" i="92"/>
  <c r="Z18" i="92"/>
  <c r="AH18" i="92"/>
  <c r="AD106" i="92"/>
  <c r="V106" i="92"/>
  <c r="AC80" i="92"/>
  <c r="AK80" i="92"/>
  <c r="AB134" i="92"/>
  <c r="AJ134" i="92"/>
  <c r="X49" i="92"/>
  <c r="AF49" i="92"/>
  <c r="X65" i="92"/>
  <c r="AF65" i="92"/>
  <c r="X115" i="92"/>
  <c r="AF115" i="92"/>
  <c r="W103" i="92"/>
  <c r="AE103" i="92"/>
  <c r="AK72" i="92"/>
  <c r="AC72" i="92"/>
  <c r="AK64" i="92"/>
  <c r="AC64" i="92"/>
  <c r="Z22" i="92"/>
  <c r="AH22" i="92"/>
  <c r="Z39" i="92"/>
  <c r="AH39" i="92"/>
  <c r="X30" i="92"/>
  <c r="AF30" i="92"/>
  <c r="X21" i="92"/>
  <c r="AF21" i="92"/>
  <c r="AH104" i="92"/>
  <c r="Z104" i="92"/>
  <c r="AI120" i="92"/>
  <c r="AA120" i="92"/>
  <c r="AA37" i="92"/>
  <c r="AI37" i="92"/>
  <c r="AB45" i="92"/>
  <c r="AJ45" i="92"/>
  <c r="X32" i="92"/>
  <c r="Z127" i="92"/>
  <c r="Z36" i="92"/>
  <c r="Z111" i="92"/>
  <c r="U6" i="93"/>
  <c r="U5" i="93"/>
  <c r="U4" i="93"/>
  <c r="V3" i="93"/>
  <c r="V6" i="93"/>
  <c r="T4" i="93"/>
  <c r="AG127" i="92"/>
  <c r="V36" i="92"/>
  <c r="AA111" i="92"/>
  <c r="V4" i="93" l="1"/>
  <c r="V5" i="93"/>
  <c r="AF32" i="92"/>
  <c r="T5" i="93"/>
  <c r="S6" i="93"/>
  <c r="S4" i="93"/>
  <c r="S5" i="93"/>
  <c r="T6" i="93"/>
  <c r="AH111" i="92"/>
  <c r="AH127" i="92"/>
  <c r="AH36" i="92"/>
  <c r="X36" i="92"/>
  <c r="AF36" i="92"/>
  <c r="Y36" i="92"/>
  <c r="AG36" i="92"/>
  <c r="X127" i="92"/>
  <c r="AF127" i="92"/>
  <c r="W127" i="92"/>
  <c r="AE127" i="92"/>
  <c r="W36" i="92"/>
  <c r="AE36" i="92"/>
  <c r="Y111" i="92"/>
  <c r="AG111" i="92"/>
  <c r="W32" i="92"/>
  <c r="AE32" i="92"/>
  <c r="Z32" i="92"/>
  <c r="AH32" i="92"/>
  <c r="W111" i="92"/>
  <c r="AE111" i="92"/>
  <c r="Y32" i="92"/>
  <c r="AG32" i="92"/>
  <c r="X111" i="92"/>
  <c r="AF111" i="92"/>
  <c r="Y127" i="92"/>
  <c r="AD36" i="92"/>
  <c r="AI32" i="92"/>
  <c r="AA32" i="92"/>
  <c r="AJ32" i="92"/>
  <c r="AB32" i="92"/>
  <c r="AD32" i="92"/>
  <c r="V32" i="92"/>
  <c r="AC32" i="92"/>
  <c r="AK32" i="92"/>
  <c r="AK111" i="92"/>
  <c r="AC111" i="92"/>
  <c r="AC36" i="92"/>
  <c r="AK36" i="92"/>
  <c r="AD127" i="92"/>
  <c r="V127" i="92"/>
  <c r="AA36" i="92"/>
  <c r="AI36" i="92"/>
  <c r="AJ127" i="92"/>
  <c r="AB127" i="92"/>
  <c r="AB36" i="92"/>
  <c r="AJ36" i="92"/>
  <c r="AB111" i="92"/>
  <c r="AJ111" i="92"/>
  <c r="AK127" i="92"/>
  <c r="AC127" i="92"/>
  <c r="AD111" i="92"/>
  <c r="V111" i="92"/>
  <c r="AI127" i="92"/>
  <c r="AA127" i="92"/>
  <c r="AI111" i="9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1FC9124-4A17-4AC6-9888-989699803376}" keepAlive="1" name="Query - tblClusterPiN5" description="Connection to the 'tblClusterPiN5' query in the workbook." type="5" refreshedVersion="0" background="1" saveData="1">
    <dbPr connection="Provider=Microsoft.Mashup.OleDb.1;Data Source=$Workbook$;Location=tblClusterPiN5;Extended Properties=&quot;&quot;" command="SELECT * FROM [tblClusterPiN5]"/>
  </connection>
</connections>
</file>

<file path=xl/sharedStrings.xml><?xml version="1.0" encoding="utf-8"?>
<sst xmlns="http://schemas.openxmlformats.org/spreadsheetml/2006/main" count="1778" uniqueCount="365">
  <si>
    <t>Education</t>
  </si>
  <si>
    <t>Location</t>
  </si>
  <si>
    <t>Populaton</t>
  </si>
  <si>
    <t>Sectoral PiN (Number)</t>
  </si>
  <si>
    <t>Protection AoRs</t>
  </si>
  <si>
    <t>Admin 1</t>
  </si>
  <si>
    <t>Admin 1 P-Code</t>
  </si>
  <si>
    <t>Admin 2</t>
  </si>
  <si>
    <t>Admin 2 P-Code</t>
  </si>
  <si>
    <t>Population</t>
  </si>
  <si>
    <t>CCCM</t>
  </si>
  <si>
    <t>Nutrition</t>
  </si>
  <si>
    <t>Food Security</t>
  </si>
  <si>
    <t>Health</t>
  </si>
  <si>
    <t>Overarching Protection</t>
  </si>
  <si>
    <t>Shelter</t>
  </si>
  <si>
    <t>WASH</t>
  </si>
  <si>
    <t>CP</t>
  </si>
  <si>
    <t>GBV</t>
  </si>
  <si>
    <t>Preliminary PiN</t>
  </si>
  <si>
    <t>Final PiN</t>
  </si>
  <si>
    <t>Evidence &amp; Comments</t>
  </si>
  <si>
    <t>Previous Year's Clusters' PiN</t>
  </si>
  <si>
    <t>Current Sectoral PiN</t>
  </si>
  <si>
    <t>Absolute PiN Differences</t>
  </si>
  <si>
    <t>% PiN Differences</t>
  </si>
  <si>
    <t>CCCM - old</t>
  </si>
  <si>
    <t>Education - old</t>
  </si>
  <si>
    <t>Nutrition - old</t>
  </si>
  <si>
    <t>Food Security - old</t>
  </si>
  <si>
    <t>Health - old</t>
  </si>
  <si>
    <t>Overarching Protection - old</t>
  </si>
  <si>
    <t>Shelter - old</t>
  </si>
  <si>
    <t>WASH - old</t>
  </si>
  <si>
    <t>CCCM - new</t>
  </si>
  <si>
    <t>Education - new</t>
  </si>
  <si>
    <t>Nutrition - new</t>
  </si>
  <si>
    <t>Food Security - new</t>
  </si>
  <si>
    <t>Health - new</t>
  </si>
  <si>
    <t>Overarching Protection - new</t>
  </si>
  <si>
    <t>Shelter - new</t>
  </si>
  <si>
    <t>WASH - new</t>
  </si>
  <si>
    <t>PiN Difference for CCCM</t>
  </si>
  <si>
    <t>PiN Difference for Education</t>
  </si>
  <si>
    <t>PiN Difference for Nutrition</t>
  </si>
  <si>
    <t>PiN Difference for Food Security</t>
  </si>
  <si>
    <t>PiN Difference for Health</t>
  </si>
  <si>
    <t>PiN Difference for Overarching Protection</t>
  </si>
  <si>
    <t>PiN Difference for Shelter</t>
  </si>
  <si>
    <t>PiN Difference for WASH</t>
  </si>
  <si>
    <t>Life Threatening</t>
  </si>
  <si>
    <t>Irreversible Harm</t>
  </si>
  <si>
    <t xml:space="preserve">Final Results
</t>
  </si>
  <si>
    <t>Child Protection (CP)</t>
  </si>
  <si>
    <t>Gender-based Violence (GBV)</t>
  </si>
  <si>
    <t>Preliminary Intersectoral Severity based on overlap of sectoral deprivations</t>
  </si>
  <si>
    <t>Mortality</t>
  </si>
  <si>
    <t>Malnutrition</t>
  </si>
  <si>
    <t>Epidemics</t>
  </si>
  <si>
    <t>Livelihood Coping</t>
  </si>
  <si>
    <t>HR/IHL Violation</t>
  </si>
  <si>
    <t>Final Severity</t>
  </si>
  <si>
    <t>HT0812</t>
  </si>
  <si>
    <t>HT0321</t>
  </si>
  <si>
    <t>HT0922</t>
  </si>
  <si>
    <t>HT0234</t>
  </si>
  <si>
    <t>HT1021</t>
  </si>
  <si>
    <t>HT0151</t>
  </si>
  <si>
    <t>HT0821</t>
  </si>
  <si>
    <t>HT0523</t>
  </si>
  <si>
    <t>HT0731</t>
  </si>
  <si>
    <t>HT0141</t>
  </si>
  <si>
    <t>HT1024</t>
  </si>
  <si>
    <t>HT0723</t>
  </si>
  <si>
    <t>HT0332</t>
  </si>
  <si>
    <t>HT0932</t>
  </si>
  <si>
    <t>HT0221</t>
  </si>
  <si>
    <t>HT1031</t>
  </si>
  <si>
    <t>HT0362</t>
  </si>
  <si>
    <t>HT0913</t>
  </si>
  <si>
    <t>HT0833</t>
  </si>
  <si>
    <t>HT0632</t>
  </si>
  <si>
    <t>HT0231</t>
  </si>
  <si>
    <t>HT0933</t>
  </si>
  <si>
    <t>HT0813</t>
  </si>
  <si>
    <t>HT0351</t>
  </si>
  <si>
    <t>HT0623</t>
  </si>
  <si>
    <t>HT0142</t>
  </si>
  <si>
    <t>HT0714</t>
  </si>
  <si>
    <t>HT0311</t>
  </si>
  <si>
    <t>HT0422</t>
  </si>
  <si>
    <t>HT0434</t>
  </si>
  <si>
    <t>HT0442</t>
  </si>
  <si>
    <t>HT0113</t>
  </si>
  <si>
    <t>HT0733</t>
  </si>
  <si>
    <t>HT0213</t>
  </si>
  <si>
    <t>HT0614</t>
  </si>
  <si>
    <t>HT0641</t>
  </si>
  <si>
    <t>HT0815</t>
  </si>
  <si>
    <t>HT0914</t>
  </si>
  <si>
    <t>HT0713</t>
  </si>
  <si>
    <t>HT0751</t>
  </si>
  <si>
    <t>HT0117</t>
  </si>
  <si>
    <t>HT0831</t>
  </si>
  <si>
    <t>HT0134</t>
  </si>
  <si>
    <t>HT0741</t>
  </si>
  <si>
    <t>HT0222</t>
  </si>
  <si>
    <t>HT0131</t>
  </si>
  <si>
    <t>HT0822</t>
  </si>
  <si>
    <t>HT0112</t>
  </si>
  <si>
    <t>HT0544</t>
  </si>
  <si>
    <t>HT0541</t>
  </si>
  <si>
    <t>HT0342</t>
  </si>
  <si>
    <t>HT0512</t>
  </si>
  <si>
    <t>HT0412</t>
  </si>
  <si>
    <t>HT0135</t>
  </si>
  <si>
    <t>HT1013</t>
  </si>
  <si>
    <t>HT0411</t>
  </si>
  <si>
    <t>HT0133</t>
  </si>
  <si>
    <t>HT0511</t>
  </si>
  <si>
    <t>HT1032</t>
  </si>
  <si>
    <t>HT0123</t>
  </si>
  <si>
    <t>HT0232</t>
  </si>
  <si>
    <t>HT0331</t>
  </si>
  <si>
    <t>HT0543</t>
  </si>
  <si>
    <t>HT0116</t>
  </si>
  <si>
    <t>HT0521</t>
  </si>
  <si>
    <t>HT0611</t>
  </si>
  <si>
    <t>HT0716</t>
  </si>
  <si>
    <t>HT0211</t>
  </si>
  <si>
    <t>HT0934</t>
  </si>
  <si>
    <t>HT0811</t>
  </si>
  <si>
    <t>HT0115</t>
  </si>
  <si>
    <t>HT1023</t>
  </si>
  <si>
    <t>HT0513</t>
  </si>
  <si>
    <t>HT0533</t>
  </si>
  <si>
    <t>HT0912</t>
  </si>
  <si>
    <t>HT0214</t>
  </si>
  <si>
    <t>HT0345</t>
  </si>
  <si>
    <t>HT0631</t>
  </si>
  <si>
    <t>HT0121</t>
  </si>
  <si>
    <t>HT0752</t>
  </si>
  <si>
    <t>HT0711</t>
  </si>
  <si>
    <t>HT0823</t>
  </si>
  <si>
    <t>HT0361</t>
  </si>
  <si>
    <t>HT0313</t>
  </si>
  <si>
    <t>HT0612</t>
  </si>
  <si>
    <t>HT0715</t>
  </si>
  <si>
    <t>HT0212</t>
  </si>
  <si>
    <t>HT0552</t>
  </si>
  <si>
    <t>HT0323</t>
  </si>
  <si>
    <t>HT1011</t>
  </si>
  <si>
    <t>HT0621</t>
  </si>
  <si>
    <t>HT0931</t>
  </si>
  <si>
    <t>HT0443</t>
  </si>
  <si>
    <t>HT0423</t>
  </si>
  <si>
    <t>HT0814</t>
  </si>
  <si>
    <t>HT0421</t>
  </si>
  <si>
    <t>HT1014</t>
  </si>
  <si>
    <t>HT0413</t>
  </si>
  <si>
    <t>HT0834</t>
  </si>
  <si>
    <t>HT0114</t>
  </si>
  <si>
    <t>HT0122</t>
  </si>
  <si>
    <t>HT1022</t>
  </si>
  <si>
    <t>HT0542</t>
  </si>
  <si>
    <t>HT1012</t>
  </si>
  <si>
    <t>HT0344</t>
  </si>
  <si>
    <t>HT0372</t>
  </si>
  <si>
    <t>HT0322</t>
  </si>
  <si>
    <t>HT0371</t>
  </si>
  <si>
    <t>HT1025</t>
  </si>
  <si>
    <t>HT0152</t>
  </si>
  <si>
    <t>HT0742</t>
  </si>
  <si>
    <t>HT0111</t>
  </si>
  <si>
    <t>HT0911</t>
  </si>
  <si>
    <t>HT0352</t>
  </si>
  <si>
    <t>HT0721</t>
  </si>
  <si>
    <t>HT0312</t>
  </si>
  <si>
    <t>HT0343</t>
  </si>
  <si>
    <t>HT0743</t>
  </si>
  <si>
    <t>HT0832</t>
  </si>
  <si>
    <t>HT0921</t>
  </si>
  <si>
    <t>HT0531</t>
  </si>
  <si>
    <t>HT0551</t>
  </si>
  <si>
    <t>HT0341</t>
  </si>
  <si>
    <t>HT0722</t>
  </si>
  <si>
    <t>HT0732</t>
  </si>
  <si>
    <t>HT0432</t>
  </si>
  <si>
    <t>HT0622</t>
  </si>
  <si>
    <t>HT0633</t>
  </si>
  <si>
    <t>HT0118</t>
  </si>
  <si>
    <t>HT0522</t>
  </si>
  <si>
    <t>HT0433</t>
  </si>
  <si>
    <t>HT0233</t>
  </si>
  <si>
    <t>HT0642</t>
  </si>
  <si>
    <t>HT0132</t>
  </si>
  <si>
    <t>HT0613</t>
  </si>
  <si>
    <t>HT0753</t>
  </si>
  <si>
    <t>HT0712</t>
  </si>
  <si>
    <t>HT0431</t>
  </si>
  <si>
    <t>HT0441</t>
  </si>
  <si>
    <t>HT0532</t>
  </si>
  <si>
    <t>Abricots</t>
  </si>
  <si>
    <t>Acul du Nord</t>
  </si>
  <si>
    <t>Anse-a-Foleur</t>
  </si>
  <si>
    <t>Anse-a-Pitre</t>
  </si>
  <si>
    <t>Anse-a-Veau</t>
  </si>
  <si>
    <t>Anse a Galets</t>
  </si>
  <si>
    <t>Anse d'Hainault</t>
  </si>
  <si>
    <t>Anse Rouge</t>
  </si>
  <si>
    <t>Aquin</t>
  </si>
  <si>
    <t>Arcahaie</t>
  </si>
  <si>
    <t>Arnaud</t>
  </si>
  <si>
    <t>Arniquet</t>
  </si>
  <si>
    <t>Bahon</t>
  </si>
  <si>
    <t>Baie de Henne</t>
  </si>
  <si>
    <t>Bainet</t>
  </si>
  <si>
    <t>Baraderes</t>
  </si>
  <si>
    <t>Bas Limbe</t>
  </si>
  <si>
    <t>Bassin Bleu</t>
  </si>
  <si>
    <t>Beaumont</t>
  </si>
  <si>
    <t>Belladere</t>
  </si>
  <si>
    <t>Belle Anse</t>
  </si>
  <si>
    <t>Bombardopolis</t>
  </si>
  <si>
    <t>Bonbon</t>
  </si>
  <si>
    <t>Borgne</t>
  </si>
  <si>
    <t>Boucan Carre</t>
  </si>
  <si>
    <t>Cabaret</t>
  </si>
  <si>
    <t>Camp-Perrin</t>
  </si>
  <si>
    <t>Cap-Haitien</t>
  </si>
  <si>
    <t>Capotille</t>
  </si>
  <si>
    <t>Caracol</t>
  </si>
  <si>
    <t>Carice</t>
  </si>
  <si>
    <t>Carrefour</t>
  </si>
  <si>
    <t>Cavaillon</t>
  </si>
  <si>
    <t>Cayes-Jacmel</t>
  </si>
  <si>
    <t>Cerca Carvajal</t>
  </si>
  <si>
    <t>Cerca La Source</t>
  </si>
  <si>
    <t>Chambellan</t>
  </si>
  <si>
    <t>Chamsolme</t>
  </si>
  <si>
    <t>Chantal</t>
  </si>
  <si>
    <t>Chardonnieres</t>
  </si>
  <si>
    <t>Cite Soleil</t>
  </si>
  <si>
    <t>Corail</t>
  </si>
  <si>
    <t>Cornillon / Grand Bois</t>
  </si>
  <si>
    <t>Coteaux</t>
  </si>
  <si>
    <t>Cotes de Fer</t>
  </si>
  <si>
    <t>Croix-Des-Bouquets</t>
  </si>
  <si>
    <t>Dame Marie</t>
  </si>
  <si>
    <t>Delmas</t>
  </si>
  <si>
    <t>Desdunes</t>
  </si>
  <si>
    <t>Dessalines</t>
  </si>
  <si>
    <t>Dondon</t>
  </si>
  <si>
    <t>Ennery</t>
  </si>
  <si>
    <t>Ferrier</t>
  </si>
  <si>
    <t>Fonds-Verrettes</t>
  </si>
  <si>
    <t>Fonds des Negres</t>
  </si>
  <si>
    <t>Fort-Liberte</t>
  </si>
  <si>
    <t>Ganthier</t>
  </si>
  <si>
    <t>Gonaives</t>
  </si>
  <si>
    <t>Grand-Boucan</t>
  </si>
  <si>
    <t>Grand-Goave</t>
  </si>
  <si>
    <t>Grand Gosier</t>
  </si>
  <si>
    <t>Grande Riviere Du Nord</t>
  </si>
  <si>
    <t>Grande Saline</t>
  </si>
  <si>
    <t>Gressier</t>
  </si>
  <si>
    <t>Gros Morne</t>
  </si>
  <si>
    <t>Hinche</t>
  </si>
  <si>
    <t>Ile a Vache</t>
  </si>
  <si>
    <t>Jacmel</t>
  </si>
  <si>
    <t>Jean Rabel</t>
  </si>
  <si>
    <t>Jeremie</t>
  </si>
  <si>
    <t>Kenscoff</t>
  </si>
  <si>
    <t>L'Asile</t>
  </si>
  <si>
    <t>L'Estere</t>
  </si>
  <si>
    <t>La Chapelle</t>
  </si>
  <si>
    <t>La Tortue</t>
  </si>
  <si>
    <t>La Vallee</t>
  </si>
  <si>
    <t>La Victoire</t>
  </si>
  <si>
    <t>Lascahobas</t>
  </si>
  <si>
    <t>Leogane</t>
  </si>
  <si>
    <t>Les Anglais</t>
  </si>
  <si>
    <t>Les Cayes</t>
  </si>
  <si>
    <t>Les Irois</t>
  </si>
  <si>
    <t>Limbe</t>
  </si>
  <si>
    <t>Limonade</t>
  </si>
  <si>
    <t>Maissade</t>
  </si>
  <si>
    <t>Maniche</t>
  </si>
  <si>
    <t>Marigot</t>
  </si>
  <si>
    <t>Marmelade</t>
  </si>
  <si>
    <t>Milot</t>
  </si>
  <si>
    <t>Miragoane</t>
  </si>
  <si>
    <t>Mirebalais</t>
  </si>
  <si>
    <t>Mole Saint Nicolas</t>
  </si>
  <si>
    <t>Mombin Crochu</t>
  </si>
  <si>
    <t>Mont-Organise</t>
  </si>
  <si>
    <t>Moron</t>
  </si>
  <si>
    <t>Ouanaminthe</t>
  </si>
  <si>
    <t>Paillant</t>
  </si>
  <si>
    <t>Perches</t>
  </si>
  <si>
    <t>Pestel</t>
  </si>
  <si>
    <t>Petion-Ville</t>
  </si>
  <si>
    <t>Petit-Goave</t>
  </si>
  <si>
    <t>Petit Trou de Nippes</t>
  </si>
  <si>
    <t>Petite Riviere de l'Artibonite</t>
  </si>
  <si>
    <t>Petite Riviere de Nippes</t>
  </si>
  <si>
    <t>Pignon</t>
  </si>
  <si>
    <t>Pilate</t>
  </si>
  <si>
    <t>Plaine du Nord</t>
  </si>
  <si>
    <t>Plaisance</t>
  </si>
  <si>
    <t>Plaisance du Sud</t>
  </si>
  <si>
    <t>Pointe a Raquette</t>
  </si>
  <si>
    <t>Port-a-Piment</t>
  </si>
  <si>
    <t>Port-au-Prince</t>
  </si>
  <si>
    <t>Port-de-Paix</t>
  </si>
  <si>
    <t>Port-Margot</t>
  </si>
  <si>
    <t>Port-Salut</t>
  </si>
  <si>
    <t>Quartier Morin</t>
  </si>
  <si>
    <t>Ranquitte</t>
  </si>
  <si>
    <t>Roche a Bateau</t>
  </si>
  <si>
    <t>Roseaux</t>
  </si>
  <si>
    <t>Saint-Louis du Nord</t>
  </si>
  <si>
    <t>Saint-Marc</t>
  </si>
  <si>
    <t>Saint-Michel de l'Attalaye</t>
  </si>
  <si>
    <t>Saint-Raphael</t>
  </si>
  <si>
    <t>Saint Jean du Sud</t>
  </si>
  <si>
    <t>Saint Louis du Sud</t>
  </si>
  <si>
    <t>Sainte Suzanne</t>
  </si>
  <si>
    <t>Saut d'Eau</t>
  </si>
  <si>
    <t>Savanette</t>
  </si>
  <si>
    <t>Tabarre</t>
  </si>
  <si>
    <t>Terre Neuve</t>
  </si>
  <si>
    <t>Terrier Rouge</t>
  </si>
  <si>
    <t>Thiotte</t>
  </si>
  <si>
    <t>Thomassique</t>
  </si>
  <si>
    <t>Thomazeau</t>
  </si>
  <si>
    <t>Thomonde</t>
  </si>
  <si>
    <t>Tiburon</t>
  </si>
  <si>
    <t>Torbeck</t>
  </si>
  <si>
    <t>Trou du Nord</t>
  </si>
  <si>
    <t>Vallieres</t>
  </si>
  <si>
    <t>Verrettes</t>
  </si>
  <si>
    <t>Grande'Anse</t>
  </si>
  <si>
    <t>Nord</t>
  </si>
  <si>
    <t>Nord-Ouest</t>
  </si>
  <si>
    <t>Sud-Est</t>
  </si>
  <si>
    <t>Nippes</t>
  </si>
  <si>
    <t>Ouest</t>
  </si>
  <si>
    <t>Artibonite</t>
  </si>
  <si>
    <t>Sud</t>
  </si>
  <si>
    <t>Centre</t>
  </si>
  <si>
    <t>Nord-Est</t>
  </si>
  <si>
    <t>HT08</t>
  </si>
  <si>
    <t>HT03</t>
  </si>
  <si>
    <t>HT09</t>
  </si>
  <si>
    <t>HT02</t>
  </si>
  <si>
    <t>HT10</t>
  </si>
  <si>
    <t>HT01</t>
  </si>
  <si>
    <t>HT05</t>
  </si>
  <si>
    <t>HT07</t>
  </si>
  <si>
    <t>HT06</t>
  </si>
  <si>
    <t>HT04</t>
  </si>
  <si>
    <t>Migrants</t>
  </si>
  <si>
    <t xml:space="preserve">  </t>
  </si>
  <si>
    <t>General Protection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</si>
</sst>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164" formatCode="_ * #,##0.00_ ;_ * \-#,##0.00_ ;_ * &quot;-&quot;??_ ;_ @_ "/>
    <numFmt numFmtId="165" formatCode="_-* #,##0.00_-;\-* #,##0.00_-;_-* &quot;-&quot;??_-;_-@_-"/>
    <numFmt numFmtId="166" formatCode="_-* #,##0_-;\-* #,##0_-;_-* &quot;-&quot;??_-;_-@_-"/>
    <numFmt numFmtId="167" formatCode="_ * #,##0_ ;_ * \-#,##0_ ;_ * &quot;-&quot;??_ ;_ @_ 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sz val="11"/>
      <color theme="1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sz val="12"/>
      <color theme="0"/>
      <name val="Arial"/>
      <family val="2"/>
    </font>
    <font>
      <sz val="10"/>
      <color rgb="FF000000"/>
      <name val="Arial"/>
      <family val="2"/>
    </font>
    <font>
      <sz val="8"/>
      <name val="Calibri"/>
      <family val="2"/>
      <scheme val="minor"/>
    </font>
    <font>
      <sz val="10"/>
      <name val="Arial"/>
      <family val="2"/>
    </font>
    <font>
      <b/>
      <sz val="9"/>
      <color theme="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14"/>
      <color theme="0"/>
      <name val="Arial"/>
      <family val="2"/>
    </font>
    <font>
      <b/>
      <sz val="11"/>
      <color theme="0"/>
      <name val="Arial"/>
      <family val="2"/>
    </font>
    <font>
      <b/>
      <sz val="9"/>
      <color theme="3"/>
      <name val="Arial"/>
      <family val="2"/>
    </font>
    <font>
      <b/>
      <sz val="11"/>
      <name val="Arial"/>
      <family val="2"/>
    </font>
    <font>
      <b/>
      <sz val="11"/>
      <color theme="0"/>
      <name val="Arial"/>
    </font>
  </fonts>
  <fills count="18">
    <fill>
      <patternFill patternType="none"/>
    </fill>
    <fill>
      <patternFill patternType="gray125"/>
    </fill>
    <fill>
      <patternFill patternType="solid">
        <fgColor rgb="FF8FB6C9"/>
        <bgColor indexed="64"/>
      </patternFill>
    </fill>
    <fill>
      <patternFill patternType="solid">
        <fgColor rgb="FF744368"/>
        <bgColor indexed="64"/>
      </patternFill>
    </fill>
    <fill>
      <patternFill patternType="solid">
        <fgColor rgb="FF628FA5"/>
        <bgColor indexed="64"/>
      </patternFill>
    </fill>
    <fill>
      <patternFill patternType="solid">
        <fgColor rgb="FF142538"/>
        <bgColor theme="4"/>
      </patternFill>
    </fill>
    <fill>
      <patternFill patternType="solid">
        <fgColor rgb="FF1E3854"/>
        <bgColor theme="4"/>
      </patternFill>
    </fill>
    <fill>
      <patternFill patternType="solid">
        <fgColor rgb="FF284B70"/>
        <bgColor theme="4"/>
      </patternFill>
    </fill>
    <fill>
      <patternFill patternType="solid">
        <fgColor rgb="FF5F98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A708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284B70"/>
        <bgColor indexed="64"/>
      </patternFill>
    </fill>
    <fill>
      <patternFill patternType="solid">
        <fgColor rgb="FFDF1154"/>
        <bgColor theme="4"/>
      </patternFill>
    </fill>
    <fill>
      <patternFill patternType="solid">
        <fgColor rgb="FFDF1154"/>
        <bgColor indexed="64"/>
      </patternFill>
    </fill>
    <fill>
      <patternFill patternType="solid">
        <fgColor rgb="FF5D903B"/>
        <bgColor indexed="64"/>
      </patternFill>
    </fill>
    <fill>
      <patternFill patternType="solid">
        <fgColor rgb="FF0D39C8"/>
        <bgColor indexed="64"/>
      </patternFill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0" fontId="3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1" fontId="2" fillId="0" borderId="0" applyFont="0" applyFill="0" applyBorder="0" applyAlignment="0" applyProtection="0"/>
  </cellStyleXfs>
  <cellXfs count="149">
    <xf numFmtId="0" fontId="0" fillId="0" borderId="0" xfId="0"/>
    <xf numFmtId="0" fontId="4" fillId="0" borderId="0" xfId="0" applyFont="1" applyAlignment="1">
      <alignment wrapText="1"/>
    </xf>
    <xf numFmtId="0" fontId="4" fillId="0" borderId="0" xfId="0" applyFont="1" applyAlignment="1">
      <alignment horizontal="left" wrapText="1"/>
    </xf>
    <xf numFmtId="167" fontId="4" fillId="0" borderId="0" xfId="4" applyNumberFormat="1" applyFont="1" applyAlignment="1">
      <alignment wrapText="1"/>
    </xf>
    <xf numFmtId="164" fontId="4" fillId="0" borderId="0" xfId="4" applyFont="1" applyAlignment="1">
      <alignment wrapText="1"/>
    </xf>
    <xf numFmtId="9" fontId="0" fillId="0" borderId="0" xfId="3" applyFont="1"/>
    <xf numFmtId="167" fontId="1" fillId="0" borderId="0" xfId="4" applyNumberFormat="1" applyFont="1" applyAlignment="1">
      <alignment wrapText="1"/>
    </xf>
    <xf numFmtId="167" fontId="0" fillId="0" borderId="0" xfId="4" applyNumberFormat="1" applyFont="1"/>
    <xf numFmtId="167" fontId="6" fillId="0" borderId="1" xfId="4" applyNumberFormat="1" applyFont="1" applyFill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167" fontId="10" fillId="0" borderId="1" xfId="4" applyNumberFormat="1" applyFont="1" applyFill="1" applyBorder="1" applyAlignment="1">
      <alignment vertical="center" wrapText="1"/>
    </xf>
    <xf numFmtId="9" fontId="8" fillId="0" borderId="1" xfId="3" applyFont="1" applyBorder="1" applyAlignment="1">
      <alignment vertical="center" wrapText="1"/>
    </xf>
    <xf numFmtId="0" fontId="6" fillId="0" borderId="9" xfId="0" applyFont="1" applyBorder="1" applyAlignment="1">
      <alignment horizontal="left" vertical="center" wrapText="1"/>
    </xf>
    <xf numFmtId="167" fontId="6" fillId="0" borderId="10" xfId="4" applyNumberFormat="1" applyFont="1" applyFill="1" applyBorder="1" applyAlignment="1">
      <alignment vertical="center" wrapText="1"/>
    </xf>
    <xf numFmtId="167" fontId="6" fillId="0" borderId="9" xfId="4" applyNumberFormat="1" applyFont="1" applyFill="1" applyBorder="1" applyAlignment="1">
      <alignment horizontal="right" vertical="center" wrapText="1"/>
    </xf>
    <xf numFmtId="166" fontId="8" fillId="0" borderId="9" xfId="0" applyNumberFormat="1" applyFont="1" applyBorder="1" applyAlignment="1">
      <alignment vertical="center" wrapText="1"/>
    </xf>
    <xf numFmtId="166" fontId="5" fillId="10" borderId="11" xfId="2" applyNumberFormat="1" applyFont="1" applyFill="1" applyBorder="1" applyAlignment="1">
      <alignment horizontal="left" vertical="center" wrapText="1"/>
    </xf>
    <xf numFmtId="166" fontId="5" fillId="10" borderId="12" xfId="2" applyNumberFormat="1" applyFont="1" applyFill="1" applyBorder="1" applyAlignment="1">
      <alignment horizontal="left" vertical="center" wrapText="1"/>
    </xf>
    <xf numFmtId="166" fontId="11" fillId="4" borderId="12" xfId="2" applyNumberFormat="1" applyFont="1" applyFill="1" applyBorder="1" applyAlignment="1">
      <alignment horizontal="center" vertical="center" wrapText="1"/>
    </xf>
    <xf numFmtId="166" fontId="11" fillId="4" borderId="13" xfId="2" applyNumberFormat="1" applyFont="1" applyFill="1" applyBorder="1" applyAlignment="1">
      <alignment horizontal="center" vertical="center" wrapText="1"/>
    </xf>
    <xf numFmtId="167" fontId="8" fillId="0" borderId="16" xfId="4" applyNumberFormat="1" applyFont="1" applyFill="1" applyBorder="1" applyAlignment="1">
      <alignment vertical="center" wrapText="1"/>
    </xf>
    <xf numFmtId="166" fontId="8" fillId="0" borderId="10" xfId="0" applyNumberFormat="1" applyFont="1" applyBorder="1" applyAlignment="1">
      <alignment vertical="center" wrapText="1"/>
    </xf>
    <xf numFmtId="167" fontId="5" fillId="2" borderId="11" xfId="4" applyNumberFormat="1" applyFont="1" applyFill="1" applyBorder="1" applyAlignment="1">
      <alignment horizontal="center" vertical="center" wrapText="1"/>
    </xf>
    <xf numFmtId="167" fontId="5" fillId="2" borderId="12" xfId="4" applyNumberFormat="1" applyFont="1" applyFill="1" applyBorder="1" applyAlignment="1">
      <alignment horizontal="center" vertical="center" wrapText="1"/>
    </xf>
    <xf numFmtId="167" fontId="5" fillId="2" borderId="13" xfId="4" applyNumberFormat="1" applyFont="1" applyFill="1" applyBorder="1" applyAlignment="1">
      <alignment horizontal="center" vertical="center" wrapText="1"/>
    </xf>
    <xf numFmtId="167" fontId="11" fillId="4" borderId="11" xfId="4" applyNumberFormat="1" applyFont="1" applyFill="1" applyBorder="1" applyAlignment="1">
      <alignment horizontal="center" vertical="center" wrapText="1"/>
    </xf>
    <xf numFmtId="9" fontId="4" fillId="0" borderId="0" xfId="3" applyFont="1" applyAlignment="1">
      <alignment wrapText="1"/>
    </xf>
    <xf numFmtId="167" fontId="8" fillId="3" borderId="11" xfId="4" applyNumberFormat="1" applyFont="1" applyFill="1" applyBorder="1" applyAlignment="1">
      <alignment horizontal="center" vertical="center" wrapText="1"/>
    </xf>
    <xf numFmtId="9" fontId="8" fillId="3" borderId="12" xfId="3" applyFont="1" applyFill="1" applyBorder="1" applyAlignment="1">
      <alignment horizontal="center" vertical="center" wrapText="1"/>
    </xf>
    <xf numFmtId="167" fontId="8" fillId="3" borderId="12" xfId="4" applyNumberFormat="1" applyFont="1" applyFill="1" applyBorder="1" applyAlignment="1">
      <alignment horizontal="center" vertical="center" wrapText="1"/>
    </xf>
    <xf numFmtId="9" fontId="8" fillId="3" borderId="13" xfId="3" applyFont="1" applyFill="1" applyBorder="1" applyAlignment="1">
      <alignment horizontal="center" vertical="center" wrapText="1"/>
    </xf>
    <xf numFmtId="167" fontId="11" fillId="4" borderId="12" xfId="4" applyNumberFormat="1" applyFont="1" applyFill="1" applyBorder="1" applyAlignment="1">
      <alignment horizontal="center" vertical="center" wrapText="1"/>
    </xf>
    <xf numFmtId="167" fontId="6" fillId="0" borderId="9" xfId="4" applyNumberFormat="1" applyFont="1" applyFill="1" applyBorder="1" applyAlignment="1">
      <alignment vertical="center" wrapText="1"/>
    </xf>
    <xf numFmtId="166" fontId="13" fillId="9" borderId="24" xfId="2" applyNumberFormat="1" applyFont="1" applyFill="1" applyBorder="1" applyAlignment="1">
      <alignment horizontal="center" vertical="center" wrapText="1"/>
    </xf>
    <xf numFmtId="166" fontId="13" fillId="9" borderId="25" xfId="2" applyNumberFormat="1" applyFont="1" applyFill="1" applyBorder="1" applyAlignment="1">
      <alignment horizontal="center" vertical="center" wrapText="1"/>
    </xf>
    <xf numFmtId="167" fontId="6" fillId="0" borderId="4" xfId="4" applyNumberFormat="1" applyFont="1" applyFill="1" applyBorder="1" applyAlignment="1">
      <alignment vertical="center" wrapText="1"/>
    </xf>
    <xf numFmtId="0" fontId="0" fillId="0" borderId="0" xfId="0" applyAlignment="1">
      <alignment horizontal="center"/>
    </xf>
    <xf numFmtId="167" fontId="6" fillId="0" borderId="1" xfId="4" applyNumberFormat="1" applyFont="1" applyBorder="1" applyAlignment="1">
      <alignment horizontal="left" vertical="center" wrapText="1"/>
    </xf>
    <xf numFmtId="167" fontId="5" fillId="10" borderId="12" xfId="4" applyNumberFormat="1" applyFont="1" applyFill="1" applyBorder="1" applyAlignment="1">
      <alignment horizontal="left" vertical="center" wrapText="1"/>
    </xf>
    <xf numFmtId="166" fontId="5" fillId="10" borderId="12" xfId="2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wrapText="1"/>
    </xf>
    <xf numFmtId="167" fontId="0" fillId="0" borderId="0" xfId="0" applyNumberFormat="1"/>
    <xf numFmtId="167" fontId="11" fillId="4" borderId="21" xfId="4" applyNumberFormat="1" applyFont="1" applyFill="1" applyBorder="1" applyAlignment="1">
      <alignment horizontal="center" vertical="center" wrapText="1"/>
    </xf>
    <xf numFmtId="167" fontId="5" fillId="4" borderId="11" xfId="4" applyNumberFormat="1" applyFont="1" applyFill="1" applyBorder="1" applyAlignment="1">
      <alignment horizontal="center" vertical="center" wrapText="1"/>
    </xf>
    <xf numFmtId="167" fontId="5" fillId="4" borderId="12" xfId="4" applyNumberFormat="1" applyFont="1" applyFill="1" applyBorder="1" applyAlignment="1">
      <alignment horizontal="center" vertical="center" wrapText="1"/>
    </xf>
    <xf numFmtId="167" fontId="5" fillId="4" borderId="13" xfId="4" applyNumberFormat="1" applyFont="1" applyFill="1" applyBorder="1" applyAlignment="1">
      <alignment horizontal="center" vertical="center" wrapText="1"/>
    </xf>
    <xf numFmtId="1" fontId="0" fillId="0" borderId="0" xfId="0" applyNumberFormat="1"/>
    <xf numFmtId="0" fontId="15" fillId="12" borderId="19" xfId="1" applyFont="1" applyFill="1" applyBorder="1" applyAlignment="1">
      <alignment horizontal="center" vertical="center"/>
    </xf>
    <xf numFmtId="1" fontId="15" fillId="12" borderId="19" xfId="1" applyNumberFormat="1" applyFont="1" applyFill="1" applyBorder="1" applyAlignment="1">
      <alignment horizontal="center" vertical="center"/>
    </xf>
    <xf numFmtId="167" fontId="12" fillId="14" borderId="5" xfId="4" applyNumberFormat="1" applyFont="1" applyFill="1" applyBorder="1" applyAlignment="1">
      <alignment horizontal="center" vertical="center" wrapText="1"/>
    </xf>
    <xf numFmtId="166" fontId="17" fillId="16" borderId="24" xfId="2" applyNumberFormat="1" applyFont="1" applyFill="1" applyBorder="1" applyAlignment="1">
      <alignment horizontal="center" vertical="center" wrapText="1"/>
    </xf>
    <xf numFmtId="166" fontId="15" fillId="16" borderId="25" xfId="2" applyNumberFormat="1" applyFont="1" applyFill="1" applyBorder="1" applyAlignment="1">
      <alignment horizontal="center" vertical="center" wrapText="1"/>
    </xf>
    <xf numFmtId="166" fontId="5" fillId="10" borderId="26" xfId="2" applyNumberFormat="1" applyFont="1" applyFill="1" applyBorder="1" applyAlignment="1">
      <alignment horizontal="center" vertical="center" wrapText="1"/>
    </xf>
    <xf numFmtId="167" fontId="16" fillId="11" borderId="17" xfId="4" applyNumberFormat="1" applyFont="1" applyFill="1" applyBorder="1" applyAlignment="1">
      <alignment horizontal="center" vertical="center" wrapText="1"/>
    </xf>
    <xf numFmtId="9" fontId="8" fillId="3" borderId="26" xfId="3" applyFont="1" applyFill="1" applyBorder="1" applyAlignment="1">
      <alignment horizontal="center" vertical="center" wrapText="1"/>
    </xf>
    <xf numFmtId="167" fontId="8" fillId="3" borderId="13" xfId="4" applyNumberFormat="1" applyFont="1" applyFill="1" applyBorder="1" applyAlignment="1">
      <alignment horizontal="center" vertical="center" wrapText="1"/>
    </xf>
    <xf numFmtId="167" fontId="11" fillId="4" borderId="26" xfId="4" applyNumberFormat="1" applyFont="1" applyFill="1" applyBorder="1" applyAlignment="1">
      <alignment horizontal="center" vertical="center" wrapText="1"/>
    </xf>
    <xf numFmtId="167" fontId="5" fillId="2" borderId="26" xfId="4" applyNumberFormat="1" applyFont="1" applyFill="1" applyBorder="1" applyAlignment="1">
      <alignment horizontal="center" vertical="center" wrapText="1"/>
    </xf>
    <xf numFmtId="167" fontId="5" fillId="10" borderId="11" xfId="4" applyNumberFormat="1" applyFont="1" applyFill="1" applyBorder="1" applyAlignment="1">
      <alignment horizontal="left" vertical="center" wrapText="1"/>
    </xf>
    <xf numFmtId="166" fontId="5" fillId="15" borderId="31" xfId="2" applyNumberFormat="1" applyFont="1" applyFill="1" applyBorder="1" applyAlignment="1">
      <alignment horizontal="center" vertical="center" wrapText="1"/>
    </xf>
    <xf numFmtId="166" fontId="5" fillId="15" borderId="18" xfId="2" applyNumberFormat="1" applyFont="1" applyFill="1" applyBorder="1" applyAlignment="1">
      <alignment horizontal="center" vertical="center" wrapText="1"/>
    </xf>
    <xf numFmtId="167" fontId="12" fillId="14" borderId="9" xfId="4" applyNumberFormat="1" applyFont="1" applyFill="1" applyBorder="1" applyAlignment="1">
      <alignment horizontal="center" vertical="center" wrapText="1"/>
    </xf>
    <xf numFmtId="167" fontId="12" fillId="14" borderId="1" xfId="4" applyNumberFormat="1" applyFont="1" applyFill="1" applyBorder="1" applyAlignment="1">
      <alignment horizontal="center" vertical="center" wrapText="1"/>
    </xf>
    <xf numFmtId="167" fontId="12" fillId="14" borderId="10" xfId="4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7" fontId="6" fillId="17" borderId="1" xfId="4" applyNumberFormat="1" applyFont="1" applyFill="1" applyBorder="1" applyAlignment="1">
      <alignment vertical="center" wrapText="1"/>
    </xf>
    <xf numFmtId="167" fontId="8" fillId="0" borderId="16" xfId="4" applyNumberFormat="1" applyFont="1" applyBorder="1" applyAlignment="1">
      <alignment vertical="center" wrapText="1"/>
    </xf>
    <xf numFmtId="0" fontId="6" fillId="17" borderId="9" xfId="0" applyFont="1" applyFill="1" applyBorder="1" applyAlignment="1">
      <alignment horizontal="left" vertical="center" wrapText="1"/>
    </xf>
    <xf numFmtId="0" fontId="6" fillId="17" borderId="1" xfId="0" applyFont="1" applyFill="1" applyBorder="1" applyAlignment="1">
      <alignment horizontal="left" vertical="center" wrapText="1"/>
    </xf>
    <xf numFmtId="167" fontId="6" fillId="17" borderId="1" xfId="4" applyNumberFormat="1" applyFont="1" applyFill="1" applyBorder="1" applyAlignment="1">
      <alignment horizontal="left" vertical="center" wrapText="1"/>
    </xf>
    <xf numFmtId="167" fontId="6" fillId="17" borderId="9" xfId="4" applyNumberFormat="1" applyFont="1" applyFill="1" applyBorder="1" applyAlignment="1">
      <alignment horizontal="right" vertical="center" wrapText="1"/>
    </xf>
    <xf numFmtId="167" fontId="10" fillId="17" borderId="1" xfId="4" applyNumberFormat="1" applyFont="1" applyFill="1" applyBorder="1" applyAlignment="1">
      <alignment vertical="center" wrapText="1"/>
    </xf>
    <xf numFmtId="167" fontId="6" fillId="17" borderId="10" xfId="4" applyNumberFormat="1" applyFont="1" applyFill="1" applyBorder="1" applyAlignment="1">
      <alignment vertical="center" wrapText="1"/>
    </xf>
    <xf numFmtId="167" fontId="8" fillId="17" borderId="16" xfId="4" applyNumberFormat="1" applyFont="1" applyFill="1" applyBorder="1" applyAlignment="1">
      <alignment vertical="center" wrapText="1"/>
    </xf>
    <xf numFmtId="167" fontId="6" fillId="17" borderId="9" xfId="4" applyNumberFormat="1" applyFont="1" applyFill="1" applyBorder="1" applyAlignment="1">
      <alignment vertical="center" wrapText="1"/>
    </xf>
    <xf numFmtId="167" fontId="6" fillId="17" borderId="4" xfId="4" applyNumberFormat="1" applyFont="1" applyFill="1" applyBorder="1" applyAlignment="1">
      <alignment vertical="center" wrapText="1"/>
    </xf>
    <xf numFmtId="9" fontId="8" fillId="17" borderId="1" xfId="3" applyFont="1" applyFill="1" applyBorder="1" applyAlignment="1">
      <alignment vertical="center" wrapText="1"/>
    </xf>
    <xf numFmtId="166" fontId="8" fillId="17" borderId="9" xfId="0" applyNumberFormat="1" applyFont="1" applyFill="1" applyBorder="1" applyAlignment="1">
      <alignment vertical="center" wrapText="1"/>
    </xf>
    <xf numFmtId="166" fontId="8" fillId="17" borderId="10" xfId="0" applyNumberFormat="1" applyFont="1" applyFill="1" applyBorder="1" applyAlignment="1">
      <alignment vertical="center" wrapText="1"/>
    </xf>
    <xf numFmtId="0" fontId="0" fillId="17" borderId="0" xfId="0" applyFill="1"/>
    <xf numFmtId="0" fontId="0" fillId="17" borderId="1" xfId="0" applyFill="1" applyBorder="1" applyAlignment="1">
      <alignment horizontal="center" vertical="center" wrapText="1"/>
    </xf>
    <xf numFmtId="167" fontId="0" fillId="17" borderId="1" xfId="4" applyNumberFormat="1" applyFont="1" applyFill="1" applyBorder="1" applyAlignment="1">
      <alignment horizontal="left" vertical="center" wrapText="1"/>
    </xf>
    <xf numFmtId="167" fontId="6" fillId="17" borderId="20" xfId="4" applyNumberFormat="1" applyFont="1" applyFill="1" applyBorder="1" applyAlignment="1">
      <alignment vertical="center" wrapText="1"/>
    </xf>
    <xf numFmtId="167" fontId="6" fillId="17" borderId="2" xfId="4" applyNumberFormat="1" applyFont="1" applyFill="1" applyBorder="1" applyAlignment="1">
      <alignment vertical="center" wrapText="1"/>
    </xf>
    <xf numFmtId="9" fontId="6" fillId="17" borderId="2" xfId="3" applyFont="1" applyFill="1" applyBorder="1" applyAlignment="1">
      <alignment vertical="center" wrapText="1"/>
    </xf>
    <xf numFmtId="0" fontId="6" fillId="17" borderId="9" xfId="0" applyFont="1" applyFill="1" applyBorder="1" applyAlignment="1">
      <alignment horizontal="center" vertical="center" wrapText="1"/>
    </xf>
    <xf numFmtId="0" fontId="1" fillId="17" borderId="1" xfId="0" applyFont="1" applyFill="1" applyBorder="1" applyAlignment="1">
      <alignment horizontal="center" vertical="center" wrapText="1"/>
    </xf>
    <xf numFmtId="167" fontId="6" fillId="17" borderId="9" xfId="6" applyNumberFormat="1" applyFont="1" applyFill="1" applyBorder="1" applyAlignment="1">
      <alignment horizontal="center" vertical="center" wrapText="1"/>
    </xf>
    <xf numFmtId="166" fontId="8" fillId="17" borderId="1" xfId="4" applyNumberFormat="1" applyFont="1" applyFill="1" applyBorder="1" applyAlignment="1">
      <alignment vertical="center" wrapText="1"/>
    </xf>
    <xf numFmtId="166" fontId="8" fillId="17" borderId="1" xfId="0" applyNumberFormat="1" applyFont="1" applyFill="1" applyBorder="1" applyAlignment="1">
      <alignment vertical="center" wrapText="1"/>
    </xf>
    <xf numFmtId="0" fontId="1" fillId="17" borderId="0" xfId="0" applyFont="1" applyFill="1" applyAlignment="1">
      <alignment wrapText="1"/>
    </xf>
    <xf numFmtId="164" fontId="1" fillId="17" borderId="0" xfId="4" applyFont="1" applyFill="1" applyAlignment="1">
      <alignment wrapText="1"/>
    </xf>
    <xf numFmtId="167" fontId="1" fillId="17" borderId="0" xfId="4" applyNumberFormat="1" applyFont="1" applyFill="1" applyAlignment="1">
      <alignment wrapText="1"/>
    </xf>
    <xf numFmtId="166" fontId="14" fillId="8" borderId="1" xfId="2" applyNumberFormat="1" applyFont="1" applyFill="1" applyBorder="1" applyAlignment="1">
      <alignment horizontal="center" vertical="center" wrapText="1"/>
    </xf>
    <xf numFmtId="166" fontId="15" fillId="8" borderId="1" xfId="2" applyNumberFormat="1" applyFont="1" applyFill="1" applyBorder="1" applyAlignment="1">
      <alignment horizontal="center" vertical="center" wrapText="1"/>
    </xf>
    <xf numFmtId="167" fontId="12" fillId="14" borderId="34" xfId="4" applyNumberFormat="1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167" fontId="6" fillId="0" borderId="9" xfId="4" applyNumberFormat="1" applyFont="1" applyBorder="1" applyAlignment="1">
      <alignment vertical="center" wrapText="1"/>
    </xf>
    <xf numFmtId="167" fontId="6" fillId="0" borderId="1" xfId="4" applyNumberFormat="1" applyFont="1" applyBorder="1" applyAlignment="1">
      <alignment vertical="center" wrapText="1"/>
    </xf>
    <xf numFmtId="167" fontId="10" fillId="0" borderId="1" xfId="4" applyNumberFormat="1" applyFont="1" applyBorder="1" applyAlignment="1">
      <alignment vertical="center" wrapText="1"/>
    </xf>
    <xf numFmtId="167" fontId="6" fillId="0" borderId="4" xfId="4" applyNumberFormat="1" applyFont="1" applyBorder="1" applyAlignment="1">
      <alignment vertical="center" wrapText="1"/>
    </xf>
    <xf numFmtId="167" fontId="6" fillId="0" borderId="20" xfId="4" applyNumberFormat="1" applyFont="1" applyBorder="1" applyAlignment="1">
      <alignment vertical="center" wrapText="1"/>
    </xf>
    <xf numFmtId="167" fontId="6" fillId="0" borderId="2" xfId="4" applyNumberFormat="1" applyFont="1" applyBorder="1" applyAlignment="1">
      <alignment vertical="center" wrapText="1"/>
    </xf>
    <xf numFmtId="9" fontId="6" fillId="0" borderId="2" xfId="3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167" fontId="6" fillId="0" borderId="9" xfId="6" applyNumberFormat="1" applyFont="1" applyBorder="1" applyAlignment="1">
      <alignment horizontal="center" vertical="center" wrapText="1"/>
    </xf>
    <xf numFmtId="166" fontId="8" fillId="0" borderId="1" xfId="4" applyNumberFormat="1" applyFont="1" applyBorder="1" applyAlignment="1">
      <alignment vertical="center" wrapText="1"/>
    </xf>
    <xf numFmtId="166" fontId="8" fillId="0" borderId="1" xfId="0" applyNumberFormat="1" applyFont="1" applyBorder="1" applyAlignment="1">
      <alignment vertical="center" wrapText="1"/>
    </xf>
    <xf numFmtId="0" fontId="6" fillId="0" borderId="4" xfId="0" applyFont="1" applyBorder="1" applyAlignment="1">
      <alignment horizontal="center" vertical="center" wrapText="1"/>
    </xf>
    <xf numFmtId="0" fontId="0" fillId="17" borderId="9" xfId="0" applyFill="1" applyBorder="1" applyAlignment="1">
      <alignment horizontal="center" vertical="center" wrapText="1"/>
    </xf>
    <xf numFmtId="167" fontId="6" fillId="0" borderId="6" xfId="4" applyNumberFormat="1" applyFont="1" applyBorder="1" applyAlignment="1">
      <alignment vertical="center" wrapText="1"/>
    </xf>
    <xf numFmtId="167" fontId="10" fillId="0" borderId="6" xfId="4" applyNumberFormat="1" applyFont="1" applyBorder="1" applyAlignment="1">
      <alignment vertical="center" wrapText="1"/>
    </xf>
    <xf numFmtId="167" fontId="6" fillId="0" borderId="10" xfId="4" applyNumberFormat="1" applyFont="1" applyBorder="1" applyAlignment="1">
      <alignment vertical="center" wrapText="1"/>
    </xf>
    <xf numFmtId="167" fontId="8" fillId="0" borderId="10" xfId="4" applyNumberFormat="1" applyFont="1" applyBorder="1" applyAlignment="1">
      <alignment vertical="center" wrapText="1"/>
    </xf>
    <xf numFmtId="9" fontId="8" fillId="0" borderId="3" xfId="3" applyFont="1" applyBorder="1" applyAlignment="1">
      <alignment vertical="center" wrapText="1"/>
    </xf>
    <xf numFmtId="9" fontId="8" fillId="0" borderId="10" xfId="3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166" fontId="8" fillId="0" borderId="4" xfId="4" applyNumberFormat="1" applyFont="1" applyBorder="1" applyAlignment="1">
      <alignment vertical="center" wrapText="1"/>
    </xf>
    <xf numFmtId="166" fontId="8" fillId="0" borderId="2" xfId="0" applyNumberFormat="1" applyFont="1" applyBorder="1" applyAlignment="1">
      <alignment vertical="center" wrapText="1"/>
    </xf>
    <xf numFmtId="167" fontId="6" fillId="0" borderId="27" xfId="4" applyNumberFormat="1" applyFont="1" applyBorder="1" applyAlignment="1">
      <alignment vertical="center" wrapText="1"/>
    </xf>
    <xf numFmtId="167" fontId="0" fillId="0" borderId="35" xfId="0" applyNumberFormat="1" applyBorder="1"/>
    <xf numFmtId="167" fontId="0" fillId="0" borderId="10" xfId="0" applyNumberFormat="1" applyBorder="1"/>
    <xf numFmtId="167" fontId="0" fillId="0" borderId="8" xfId="0" applyNumberFormat="1" applyBorder="1"/>
    <xf numFmtId="9" fontId="6" fillId="17" borderId="3" xfId="3" applyFont="1" applyFill="1" applyBorder="1" applyAlignment="1">
      <alignment vertical="center" wrapText="1"/>
    </xf>
    <xf numFmtId="167" fontId="8" fillId="17" borderId="10" xfId="4" applyNumberFormat="1" applyFont="1" applyFill="1" applyBorder="1" applyAlignment="1">
      <alignment vertical="center" wrapText="1"/>
    </xf>
    <xf numFmtId="167" fontId="16" fillId="11" borderId="13" xfId="4" applyNumberFormat="1" applyFont="1" applyFill="1" applyBorder="1" applyAlignment="1">
      <alignment horizontal="center" vertical="center" wrapText="1"/>
    </xf>
    <xf numFmtId="0" fontId="6" fillId="0" borderId="1" xfId="4" applyNumberFormat="1" applyFont="1" applyFill="1" applyBorder="1" applyAlignment="1">
      <alignment vertical="center" wrapText="1"/>
    </xf>
    <xf numFmtId="0" fontId="11" fillId="6" borderId="7" xfId="1" applyFont="1" applyFill="1" applyBorder="1" applyAlignment="1">
      <alignment horizontal="center" vertical="center" wrapText="1"/>
    </xf>
    <xf numFmtId="0" fontId="15" fillId="6" borderId="14" xfId="1" applyFont="1" applyFill="1" applyBorder="1" applyAlignment="1">
      <alignment horizontal="center" vertical="center" wrapText="1"/>
    </xf>
    <xf numFmtId="166" fontId="14" fillId="8" borderId="1" xfId="2" applyNumberFormat="1" applyFont="1" applyFill="1" applyBorder="1" applyAlignment="1">
      <alignment vertical="center" wrapText="1"/>
    </xf>
    <xf numFmtId="0" fontId="11" fillId="5" borderId="7" xfId="1" applyFont="1" applyFill="1" applyBorder="1" applyAlignment="1">
      <alignment horizontal="center" vertical="center" wrapText="1"/>
    </xf>
    <xf numFmtId="167" fontId="11" fillId="7" borderId="7" xfId="4" applyNumberFormat="1" applyFont="1" applyFill="1" applyBorder="1" applyAlignment="1">
      <alignment horizontal="center" vertical="center" wrapText="1"/>
    </xf>
    <xf numFmtId="167" fontId="11" fillId="7" borderId="28" xfId="4" applyNumberFormat="1" applyFont="1" applyFill="1" applyBorder="1" applyAlignment="1">
      <alignment horizontal="center" vertical="center" wrapText="1"/>
    </xf>
    <xf numFmtId="0" fontId="15" fillId="15" borderId="22" xfId="0" applyFont="1" applyFill="1" applyBorder="1" applyAlignment="1">
      <alignment horizontal="center" vertical="center" wrapText="1"/>
    </xf>
    <xf numFmtId="0" fontId="15" fillId="15" borderId="23" xfId="0" applyFont="1" applyFill="1" applyBorder="1" applyAlignment="1">
      <alignment horizontal="center" vertical="center" wrapText="1"/>
    </xf>
    <xf numFmtId="167" fontId="15" fillId="13" borderId="32" xfId="4" applyNumberFormat="1" applyFont="1" applyFill="1" applyBorder="1" applyAlignment="1">
      <alignment horizontal="center" vertical="center" wrapText="1"/>
    </xf>
    <xf numFmtId="167" fontId="15" fillId="13" borderId="28" xfId="4" applyNumberFormat="1" applyFont="1" applyFill="1" applyBorder="1" applyAlignment="1">
      <alignment horizontal="center" vertical="center" wrapText="1"/>
    </xf>
    <xf numFmtId="167" fontId="15" fillId="13" borderId="29" xfId="4" applyNumberFormat="1" applyFont="1" applyFill="1" applyBorder="1" applyAlignment="1">
      <alignment horizontal="center" vertical="center" wrapText="1"/>
    </xf>
    <xf numFmtId="0" fontId="15" fillId="5" borderId="14" xfId="1" applyFont="1" applyFill="1" applyBorder="1" applyAlignment="1">
      <alignment horizontal="center" vertical="center" wrapText="1"/>
    </xf>
    <xf numFmtId="0" fontId="15" fillId="5" borderId="19" xfId="1" applyFont="1" applyFill="1" applyBorder="1" applyAlignment="1">
      <alignment horizontal="center" vertical="center" wrapText="1"/>
    </xf>
    <xf numFmtId="167" fontId="18" fillId="13" borderId="30" xfId="4" applyNumberFormat="1" applyFont="1" applyFill="1" applyBorder="1" applyAlignment="1">
      <alignment horizontal="center" vertical="center" wrapText="1"/>
    </xf>
    <xf numFmtId="167" fontId="18" fillId="13" borderId="33" xfId="4" applyNumberFormat="1" applyFont="1" applyFill="1" applyBorder="1" applyAlignment="1">
      <alignment horizontal="center" vertical="center" wrapText="1"/>
    </xf>
    <xf numFmtId="0" fontId="7" fillId="6" borderId="14" xfId="1" applyFont="1" applyFill="1" applyBorder="1" applyAlignment="1">
      <alignment horizontal="center" vertical="center" wrapText="1"/>
    </xf>
    <xf numFmtId="0" fontId="7" fillId="6" borderId="19" xfId="1" applyFont="1" applyFill="1" applyBorder="1" applyAlignment="1">
      <alignment horizontal="center" vertical="center" wrapText="1"/>
    </xf>
    <xf numFmtId="0" fontId="7" fillId="6" borderId="15" xfId="1" applyFont="1" applyFill="1" applyBorder="1" applyAlignment="1">
      <alignment horizontal="center" vertical="center" wrapText="1"/>
    </xf>
    <xf numFmtId="0" fontId="11" fillId="5" borderId="14" xfId="1" applyFont="1" applyFill="1" applyBorder="1" applyAlignment="1">
      <alignment horizontal="center" vertical="center" wrapText="1"/>
    </xf>
    <xf numFmtId="0" fontId="11" fillId="5" borderId="19" xfId="1" applyFont="1" applyFill="1" applyBorder="1" applyAlignment="1">
      <alignment horizontal="center" vertical="center" wrapText="1"/>
    </xf>
  </cellXfs>
  <cellStyles count="7">
    <cellStyle name="Comma" xfId="4" builtinId="3"/>
    <cellStyle name="Comma [0]" xfId="6" builtinId="6"/>
    <cellStyle name="Comma 2" xfId="2" xr:uid="{5D38CDC1-E85E-41E9-9606-1CCEEB01D8F0}"/>
    <cellStyle name="Normal" xfId="0" builtinId="0"/>
    <cellStyle name="Normal 2" xfId="1" xr:uid="{302DEB05-DCF2-4BA3-83E1-73B661067522}"/>
    <cellStyle name="Percent" xfId="3" builtinId="5"/>
    <cellStyle name="Percent 2" xfId="5" xr:uid="{FD1A6169-9F19-48BF-8E96-E95C4B0D624C}"/>
  </cellStyles>
  <dxfs count="144">
    <dxf>
      <font>
        <color rgb="FFFF0000"/>
      </font>
      <fill>
        <patternFill patternType="none">
          <bgColor auto="1"/>
        </patternFill>
      </fill>
    </dxf>
    <dxf>
      <fill>
        <patternFill>
          <bgColor rgb="FFFF999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3" formatCode="0%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3" formatCode="0%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7" formatCode="_ * #,##0_ ;_ * \-#,##0_ ;_ * &quot;-&quot;??_ ;_ @_ 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horizontal="general" vertical="center" textRotation="0" wrapText="1" indent="0" justifyLastLine="0" shrinkToFit="0" readingOrder="0"/>
      <border diagonalUp="0" diagonalDown="0">
        <left style="thick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_ * #,##0_ ;_ * \-#,##0_ ;_ * &quot;-&quot;??_ ;_ @_ 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vertical="center" textRotation="0" wrapText="1" indent="0" justifyLastLine="0" shrinkToFit="0" readingOrder="0"/>
      <border diagonalUp="0" diagonalDown="0">
        <left style="thick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rial"/>
        <family val="2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rial"/>
        <family val="2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ck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6" formatCode="_-* #,##0_-;\-* #,##0_-;_-* &quot;-&quot;??_-;_-@_-"/>
      <alignment vertical="center" textRotation="0" wrapText="1" indent="0" justifyLastLine="0" shrinkToFit="0" readingOrder="0"/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rial"/>
        <scheme val="none"/>
      </font>
      <numFmt numFmtId="166" formatCode="_-* #,##0_-;\-* #,##0_-;_-* &quot;-&quot;??_-;_-@_-"/>
      <fill>
        <patternFill patternType="solid">
          <fgColor indexed="64"/>
          <bgColor rgb="FF8FB6C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6" formatCode="_-* #,##0_-;\-* #,##0_-;_-* &quot;-&quot;??_-;_-@_-"/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6" formatCode="_-* #,##0_-;\-* #,##0_-;_-* &quot;-&quot;??_-;_-@_-"/>
      <alignment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/>
        <top style="thin">
          <color rgb="FF000000"/>
        </top>
        <bottom/>
      </border>
    </dxf>
    <dxf>
      <numFmt numFmtId="167" formatCode="_ * #,##0_ ;_ * \-#,##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ck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ck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ck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horizontal="general" vertical="center" textRotation="0" wrapText="1" indent="0" justifyLastLine="0" shrinkToFit="0" readingOrder="0"/>
      <border diagonalUp="0" diagonalDown="0">
        <left style="thick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ck">
          <color indexed="64"/>
        </left>
        <right style="thick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7" formatCode="_ * #,##0_ ;_ * \-#,##0_ ;_ * &quot;-&quot;??_ ;_ @_ 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_ * #,##0_ ;_ * \-#,##0_ ;_ * &quot;-&quot;??_ ;_ @_ 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ck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vertical="center" textRotation="0" wrapText="1" indent="0" justifyLastLine="0" shrinkToFit="0" readingOrder="0"/>
      <border diagonalUp="0" diagonalDown="0">
        <left style="thick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numFmt numFmtId="0" formatCode="General"/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numFmt numFmtId="0" formatCode="General"/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ck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left" vertical="center" textRotation="0" wrapText="1" indent="0" justifyLastLine="0" shrinkToFit="0" readingOrder="0"/>
      <border diagonalUp="0" diagonalDown="0" outline="0">
        <left style="thick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6" formatCode="_-* #,##0_-;\-* #,##0_-;_-* &quot;-&quot;??_-;_-@_-"/>
      <alignment vertical="center" textRotation="0" wrapText="1" indent="0" justifyLastLine="0" shrinkToFit="0" readingOrder="0"/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rial"/>
        <scheme val="none"/>
      </font>
      <numFmt numFmtId="166" formatCode="_-* #,##0_-;\-* #,##0_-;_-* &quot;-&quot;??_-;_-@_-"/>
      <fill>
        <patternFill patternType="solid">
          <fgColor indexed="64"/>
          <bgColor rgb="FF8FB6C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6" formatCode="_-* #,##0_-;\-* #,##0_-;_-* &quot;-&quot;??_-;_-@_-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6" formatCode="_-* #,##0_-;\-* #,##0_-;_-* &quot;-&quot;??_-;_-@_-"/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6" formatCode="_-* #,##0_-;\-* #,##0_-;_-* &quot;-&quot;??_-;_-@_-"/>
      <alignment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7" formatCode="_ * #,##0_ ;_ * \-#,##0_ ;_ * &quot;-&quot;??_ ;_ @_ "/>
      <alignment horizontal="general" vertical="center" textRotation="0" wrapText="1" indent="0" justifyLastLine="0" shrinkToFit="0" readingOrder="0"/>
      <border diagonalUp="0" diagonalDown="0" outline="0">
        <left style="thick">
          <color indexed="64"/>
        </left>
        <right style="thick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7" formatCode="_ * #,##0_ ;_ * \-#,##0_ ;_ * &quot;-&quot;??_ ;_ @_ 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_ * #,##0_ ;_ * \-#,##0_ ;_ * &quot;-&quot;??_ ;_ @_ 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horizontal="center" vertical="center" textRotation="0" wrapText="1" indent="0" justifyLastLine="0" shrinkToFit="0" readingOrder="0"/>
      <border diagonalUp="0" diagonalDown="0" outline="0">
        <left style="thick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horizontal="center" vertical="center" textRotation="0" wrapText="1" indent="0" justifyLastLine="0" shrinkToFit="0" readingOrder="0"/>
      <border diagonalUp="0" diagonalDown="0">
        <left style="thick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ck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ck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6" formatCode="_-* #,##0_-;\-* #,##0_-;_-* &quot;-&quot;??_-;_-@_-"/>
      <alignment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rial"/>
        <scheme val="none"/>
      </font>
      <numFmt numFmtId="166" formatCode="_-* #,##0_-;\-* #,##0_-;_-* &quot;-&quot;??_-;_-@_-"/>
      <fill>
        <patternFill patternType="solid">
          <fgColor indexed="64"/>
          <bgColor rgb="FF8FB6C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BDD7EE"/>
      <color rgb="FF628FA5"/>
      <color rgb="FF0D39C8"/>
      <color rgb="FFAD7BE9"/>
      <color rgb="FF5D903B"/>
      <color rgb="FFDC9100"/>
      <color rgb="FFFFAA04"/>
      <color rgb="FFDF1154"/>
      <color rgb="FFBB0F46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connections" Target="connection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1C7DAF7-37A5-437D-A71A-78BDE7153DE7}" name="tblPiNAnalysis" displayName="tblPiNAnalysis" ref="A2:T142" totalsRowShown="0" headerRowDxfId="143" dataDxfId="141" headerRowBorderDxfId="142" tableBorderDxfId="140" totalsRowBorderDxfId="139" headerRowCellStyle="Comma 2">
  <sortState xmlns:xlrd2="http://schemas.microsoft.com/office/spreadsheetml/2017/richdata2" ref="A3:T142">
    <sortCondition ref="D3:D142"/>
  </sortState>
  <tableColumns count="20">
    <tableColumn id="2" xr3:uid="{90C30682-CC85-4A40-8C59-3DE4818FD180}" name="Admin 1" dataDxfId="138" totalsRowDxfId="137"/>
    <tableColumn id="15" xr3:uid="{7B726629-BA89-49F5-8F57-2B9EB4CDD021}" name="Admin 1 P-Code" dataDxfId="136" totalsRowDxfId="135"/>
    <tableColumn id="14" xr3:uid="{BAE67459-66F5-4493-A91C-9D2B08E6B8EC}" name="Admin 2" dataDxfId="134" totalsRowDxfId="133"/>
    <tableColumn id="3" xr3:uid="{19F61B87-5E5C-480C-970D-62A72E5FF1E6}" name="Admin 2 P-Code" dataDxfId="132" totalsRowDxfId="131"/>
    <tableColumn id="4" xr3:uid="{C3D266F4-08AD-4E59-ACFC-6FCB92954911}" name="Population" dataDxfId="130" totalsRowDxfId="129" dataCellStyle="Comma"/>
    <tableColumn id="8" xr3:uid="{F9A63AE1-604E-42EF-A449-294D1C9BA734}" name="CCCM" dataDxfId="128" totalsRowDxfId="127" dataCellStyle="Comma [0]"/>
    <tableColumn id="31" xr3:uid="{C853B6B0-0D51-4D27-A0DE-8BBED5DB5DBC}" name="Education" dataDxfId="126" totalsRowDxfId="125" dataCellStyle="Comma"/>
    <tableColumn id="32" xr3:uid="{56EE9F16-B087-4DC5-9E34-9168FFDBAB16}" name="Nutrition" dataDxfId="124" totalsRowDxfId="123" dataCellStyle="Comma"/>
    <tableColumn id="10" xr3:uid="{C2D31B2E-F8B2-40B5-B8BE-579B6F858303}" name="Food Security" dataDxfId="122" totalsRowDxfId="121" dataCellStyle="Comma"/>
    <tableColumn id="33" xr3:uid="{EA7D01DC-FF04-481D-832D-E586DCE04584}" name="Health" dataDxfId="120" totalsRowDxfId="119" dataCellStyle="Comma"/>
    <tableColumn id="11" xr3:uid="{35F16878-B666-46A1-BBFF-0BE781639BC0}" name="Overarching Protection" dataDxfId="118" totalsRowDxfId="117" dataCellStyle="Comma"/>
    <tableColumn id="9" xr3:uid="{11307CA3-5DE0-484A-AA61-91E0ABC3D54A}" name="Shelter" dataDxfId="116" totalsRowDxfId="115" dataCellStyle="Comma"/>
    <tableColumn id="17" xr3:uid="{BB2853C7-D9DD-4C35-A144-B7DE9E3D8429}" name="WASH" dataDxfId="114" totalsRowDxfId="113" dataCellStyle="Comma"/>
    <tableColumn id="66" xr3:uid="{A3B5A376-64B2-4BCD-AEDF-EAA9FEEA0CF0}" name="General Protection" dataDxfId="112" totalsRowDxfId="111" dataCellStyle="Comma"/>
    <tableColumn id="42" xr3:uid="{CA0852B1-AE47-4B73-89EC-15E567E166C7}" name="CP" dataDxfId="110" totalsRowDxfId="109" dataCellStyle="Comma"/>
    <tableColumn id="65" xr3:uid="{560FC162-D3A5-42CC-BD97-D595B39B18E3}" name="GBV" dataDxfId="108" totalsRowDxfId="107" dataCellStyle="Comma"/>
    <tableColumn id="64" xr3:uid="{BB4F3E41-F899-4CD2-AE0B-09D7AF93EA95}" name="Migrants" dataDxfId="106" totalsRowDxfId="105" dataCellStyle="Comma"/>
    <tableColumn id="56" xr3:uid="{CF7DC092-BFB4-4899-987D-F32FC1BAACB2}" name="Preliminary PiN" dataDxfId="104" totalsRowDxfId="103" dataCellStyle="Comma"/>
    <tableColumn id="44" xr3:uid="{F0A6E442-5E92-474E-A531-A201AC702C5A}" name="Final PiN" dataDxfId="102" totalsRowDxfId="101"/>
    <tableColumn id="5" xr3:uid="{CCDCA844-1C62-445A-A508-2D171AEA612C}" name="Evidence &amp; Comments" dataDxfId="100" totalsRowDxfId="99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1C62CB9-79E0-497E-A079-06B621BAA7FA}" name="tblSeverityAnalysis" displayName="tblSeverityAnalysis" ref="A2:Y142" totalsRowShown="0" headerRowDxfId="98" dataDxfId="96" headerRowBorderDxfId="97" tableBorderDxfId="95" totalsRowBorderDxfId="94" headerRowCellStyle="Comma 2">
  <tableColumns count="25">
    <tableColumn id="2" xr3:uid="{DE5C2973-C3F7-4CA7-A76B-64D8D90C3D11}" name="Admin 1" dataDxfId="93" totalsRowDxfId="92"/>
    <tableColumn id="15" xr3:uid="{B194334C-81FA-4EF2-9AE3-5E75730B9BF4}" name="Admin 1 P-Code" dataDxfId="91" totalsRowDxfId="90"/>
    <tableColumn id="14" xr3:uid="{3DF13833-849E-4712-95EC-D8335688FB50}" name="Admin 2" dataDxfId="89" totalsRowDxfId="88"/>
    <tableColumn id="3" xr3:uid="{D7B62F2F-A63B-44BE-AE4E-30223A2CCBFD}" name="Admin 2 P-Code" dataDxfId="87" totalsRowDxfId="86"/>
    <tableColumn id="4" xr3:uid="{A48A17EA-68C0-4A1F-9FBF-4FDCF8A3B119}" name="Population" dataDxfId="85" totalsRowDxfId="84" dataCellStyle="Comma"/>
    <tableColumn id="8" xr3:uid="{2EAA504B-FE48-494A-8CCF-FE05D7E55168}" name="CCCM" dataDxfId="83" totalsRowDxfId="82" dataCellStyle="Comma"/>
    <tableColumn id="10" xr3:uid="{8E2042EE-1CD5-45A3-A0F4-6E648C2C2C9A}" name="Education" dataDxfId="81" totalsRowDxfId="80" dataCellStyle="Comma"/>
    <tableColumn id="31" xr3:uid="{623EB35B-A873-438D-B4FC-568020B0E314}" name="Nutrition" dataDxfId="79" totalsRowDxfId="78" dataCellStyle="Comma"/>
    <tableColumn id="33" xr3:uid="{A3845C6F-B00A-4D3D-BCD9-7001DF7C2BF3}" name="Food Security" dataDxfId="77" totalsRowDxfId="76" dataCellStyle="Comma"/>
    <tableColumn id="16" xr3:uid="{CCC771BB-071E-462D-BAD3-7ECDFD8BA39C}" name="Health" dataDxfId="75" totalsRowDxfId="74" dataCellStyle="Comma"/>
    <tableColumn id="11" xr3:uid="{C2D74A6D-BDA9-499B-B531-C38E9D023E99}" name="Overarching Protection" dataDxfId="73" totalsRowDxfId="72" dataCellStyle="Comma"/>
    <tableColumn id="9" xr3:uid="{89554A4D-4796-4166-AEA8-75E4763F3CF9}" name="Shelter" dataDxfId="71" totalsRowDxfId="70" dataCellStyle="Comma"/>
    <tableColumn id="17" xr3:uid="{E84A9292-43B6-4C5B-94DA-076D49B68338}" name="WASH" dataDxfId="69" totalsRowDxfId="68" dataCellStyle="Comma"/>
    <tableColumn id="21" xr3:uid="{C48240FC-85EC-B548-BDBE-D7ECF22A8C33}" name="General Protection" dataDxfId="67" totalsRowDxfId="66" dataCellStyle="Comma"/>
    <tableColumn id="26" xr3:uid="{F6CA8407-9807-48DF-9531-46EA00177E37}" name="Child Protection (CP)" dataDxfId="65" totalsRowDxfId="64" dataCellStyle="Comma"/>
    <tableColumn id="23" xr3:uid="{BE6A09F9-4A73-E54A-BF31-9F855B209A36}" name="Gender-based Violence (GBV)" dataDxfId="63" totalsRowDxfId="62" dataCellStyle="Comma"/>
    <tableColumn id="25" xr3:uid="{C03DC446-1D83-844A-9E03-2E9406A823F3}" name="Migrants" dataDxfId="61" totalsRowDxfId="60" dataCellStyle="Comma"/>
    <tableColumn id="56" xr3:uid="{BCD5170C-CF9D-4191-BCCB-28922DB24DAD}" name="Preliminary Intersectoral Severity based on overlap of sectoral deprivations" dataDxfId="59" totalsRowDxfId="58" dataCellStyle="Comma"/>
    <tableColumn id="30" xr3:uid="{898C226D-603A-4B03-8AB3-F1B1EC15F4D3}" name="Mortality" dataDxfId="57" totalsRowDxfId="56" dataCellStyle="Comma">
      <calculatedColumnFormula>IFERROR(IF(INDEX(#REF!,MATCH(#REF!,#REF!, 0))= "", "",INDEX(#REF!,MATCH(#REF!,#REF!, 0)) ), "")</calculatedColumnFormula>
    </tableColumn>
    <tableColumn id="35" xr3:uid="{52915851-B9BD-417C-9D89-D537647E1C1F}" name="Malnutrition" dataDxfId="55" totalsRowDxfId="54" dataCellStyle="Comma">
      <calculatedColumnFormula>IFERROR(IF(INDEX(#REF!,MATCH(#REF!,#REF!, 0))= "", "",INDEX(#REF!,MATCH(#REF!,#REF!, 0)) ), "")</calculatedColumnFormula>
    </tableColumn>
    <tableColumn id="34" xr3:uid="{BDB14026-41EC-4A9C-A4E8-BAA7D3A952B2}" name="Epidemics" dataDxfId="53" totalsRowDxfId="52" dataCellStyle="Comma">
      <calculatedColumnFormula>IFERROR(IF(INDEX(#REF!,MATCH(#REF!,#REF!, 0))= "", "",INDEX(#REF!,MATCH(#REF!,#REF!, 0)) ), "")</calculatedColumnFormula>
    </tableColumn>
    <tableColumn id="13" xr3:uid="{91890E29-2CD2-4CF5-965E-648927B4CD6E}" name="Livelihood Coping" dataDxfId="51" totalsRowDxfId="50" dataCellStyle="Comma">
      <calculatedColumnFormula>IFERROR(IF(INDEX(#REF!,MATCH(#REF!,#REF!, 0))= "", "",INDEX(#REF!,MATCH(#REF!,#REF!, 0)) ), "")</calculatedColumnFormula>
    </tableColumn>
    <tableColumn id="18" xr3:uid="{06E2A20B-4EBA-4551-95F0-A0BB49DFCB92}" name="HR/IHL Violation" dataDxfId="49" totalsRowDxfId="48">
      <calculatedColumnFormula>IFERROR(IF(INDEX(#REF!,MATCH(#REF!,#REF!, 0))= "", "",INDEX(#REF!,MATCH(#REF!,#REF!, 0)) ), "")</calculatedColumnFormula>
    </tableColumn>
    <tableColumn id="44" xr3:uid="{03F94C7E-8EDA-4018-9837-589E65ECA95C}" name="Final Severity" dataDxfId="47" totalsRowDxfId="46"/>
    <tableColumn id="5" xr3:uid="{8C5B51FE-2FF3-4432-A4F9-72475869B3BB}" name="Evidence &amp; Comments" dataDxfId="45" totalsRowDxfId="44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F25301-D0EB-4466-8610-593D4070A226}" name="tblPiNHistorical" displayName="tblPiNHistorical" ref="A2:AK142" totalsRowShown="0" headerRowDxfId="43" dataDxfId="41" headerRowBorderDxfId="42" tableBorderDxfId="40" totalsRowBorderDxfId="39" headerRowCellStyle="Comma 2">
  <sortState xmlns:xlrd2="http://schemas.microsoft.com/office/spreadsheetml/2017/richdata2" ref="A3:AK142">
    <sortCondition ref="D3:D142"/>
  </sortState>
  <tableColumns count="37">
    <tableColumn id="2" xr3:uid="{F6E6FC1E-F46B-4373-A498-70FBD8D55403}" name="Admin 1" dataDxfId="38"/>
    <tableColumn id="15" xr3:uid="{7205F2A9-2D90-4E82-AA2B-9E03B32722F5}" name="Admin 1 P-Code" dataDxfId="37"/>
    <tableColumn id="14" xr3:uid="{3C82ABBD-107D-4174-A0E8-A34A809196B4}" name="Admin 2" dataDxfId="36"/>
    <tableColumn id="3" xr3:uid="{7AADCFA6-7AD6-4673-AADF-84C1095146FD}" name="Admin 2 P-Code" dataDxfId="35"/>
    <tableColumn id="4" xr3:uid="{0F1C3EBE-F260-40F3-9FBE-0D21DA819B8C}" name="Population" dataDxfId="34" dataCellStyle="Comma"/>
    <tableColumn id="8" xr3:uid="{030C5973-1707-4485-A6B1-521E6912BBFE}" name="CCCM - old" dataDxfId="33" dataCellStyle="Comma"/>
    <tableColumn id="18" xr3:uid="{8E881CE5-2E7E-413E-A529-FC4AF564AF52}" name="Education - old" dataDxfId="32" dataCellStyle="Comma"/>
    <tableColumn id="10" xr3:uid="{8754FC3D-E4A5-41DD-BB52-C1AA3AF08FB5}" name="Nutrition - old" dataDxfId="31" dataCellStyle="Comma"/>
    <tableColumn id="31" xr3:uid="{769C8193-6632-41B7-B237-D48D3062C82B}" name="Food Security - old" dataDxfId="30" dataCellStyle="Comma"/>
    <tableColumn id="33" xr3:uid="{B3A5DF0D-28A2-477B-881E-23313A01BA60}" name="Health - old" dataDxfId="29" dataCellStyle="Comma"/>
    <tableColumn id="11" xr3:uid="{630EBA6D-F1E8-4DF6-8A23-E83979B0F803}" name="Overarching Protection - old" dataDxfId="28" dataCellStyle="Comma"/>
    <tableColumn id="9" xr3:uid="{5C7F0089-EFE8-4543-B000-7F9117FE0ABA}" name="Shelter - old" dataDxfId="27" dataCellStyle="Comma"/>
    <tableColumn id="17" xr3:uid="{BE065327-F485-4EA1-86E5-9B34975EB75D}" name="WASH - old" dataDxfId="26" dataCellStyle="Comma"/>
    <tableColumn id="13" xr3:uid="{4CC9CDCA-F7C8-4F2B-A54C-CC17517583F3}" name="CCCM - new" dataDxfId="25" dataCellStyle="Comma"/>
    <tableColumn id="27" xr3:uid="{90CBBEA2-52CD-4938-A731-A3039A83AA27}" name="Education - new" dataDxfId="24" dataCellStyle="Comma"/>
    <tableColumn id="39" xr3:uid="{79049057-4CB6-4344-B8AE-D043DE348509}" name="Nutrition - new" dataDxfId="23" dataCellStyle="Comma"/>
    <tableColumn id="16" xr3:uid="{AB91784D-784E-470B-9B6B-0C5C96DE7BC3}" name="Food Security - new" dataDxfId="22" dataCellStyle="Comma"/>
    <tableColumn id="19" xr3:uid="{DF836EFA-4D5C-4A76-A230-CFE18E7635C8}" name="Health - new" dataDxfId="21" dataCellStyle="Comma"/>
    <tableColumn id="30" xr3:uid="{4F573CA9-AAC4-4543-A2D5-BEAFABE4C540}" name="Overarching Protection - new" dataDxfId="20" dataCellStyle="Comma"/>
    <tableColumn id="34" xr3:uid="{4240201E-BD32-4261-B98A-8D0DA7648C58}" name="Shelter - new" dataDxfId="19" dataCellStyle="Comma"/>
    <tableColumn id="35" xr3:uid="{2967BDE4-A11B-4005-A24B-D9CFBB6026D1}" name="WASH - new" dataDxfId="18" dataCellStyle="Comma"/>
    <tableColumn id="32" xr3:uid="{112BC0F4-3EB6-4905-B067-C9CFE2267560}" name="PiN Difference for CCCM" dataDxfId="17" dataCellStyle="Comma">
      <calculatedColumnFormula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calculatedColumnFormula>
    </tableColumn>
    <tableColumn id="25" xr3:uid="{794F3A76-2CF2-4DB6-B3A7-A8FBC4A039A4}" name="PiN Difference for Education" dataDxfId="16" dataCellStyle="Comma">
      <calculatedColumnFormula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calculatedColumnFormula>
    </tableColumn>
    <tableColumn id="23" xr3:uid="{208EA54B-C721-4CC7-8278-0241C2CF01E7}" name="PiN Difference for Nutrition" dataDxfId="15" dataCellStyle="Comma">
      <calculatedColumnFormula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calculatedColumnFormula>
    </tableColumn>
    <tableColumn id="21" xr3:uid="{40533A56-0681-449E-B1DB-61A403CAF744}" name="PiN Difference for Food Security" dataDxfId="14" dataCellStyle="Comma">
      <calculatedColumnFormula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calculatedColumnFormula>
    </tableColumn>
    <tableColumn id="38" xr3:uid="{0E421EF8-4E9C-4FDD-9078-6F037F6B5AAE}" name="PiN Difference for Health" dataDxfId="13" dataCellStyle="Comma">
      <calculatedColumnFormula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calculatedColumnFormula>
    </tableColumn>
    <tableColumn id="12" xr3:uid="{BE2332DE-8C64-4A96-BC08-85AC305264CB}" name="PiN Difference for Overarching Protection" dataDxfId="12" dataCellStyle="Comma">
      <calculatedColumnFormula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calculatedColumnFormula>
    </tableColumn>
    <tableColumn id="40" xr3:uid="{3B8D8A64-8484-4AFE-BE65-0C2BCB9F7887}" name="PiN Difference for Shelter" dataDxfId="11" dataCellStyle="Comma">
      <calculatedColumnFormula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calculatedColumnFormula>
    </tableColumn>
    <tableColumn id="5" xr3:uid="{5E99E83B-21D7-4AB9-9389-9E3FBBB916EE}" name="PiN Difference for WASH" dataDxfId="10" dataCellStyle="Comma">
      <calculatedColumnFormula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calculatedColumnFormula>
    </tableColumn>
    <tableColumn id="37" xr3:uid="{7D7EBA8D-F540-446F-90A8-354EDCB9EA65}" name="CCCM" dataDxfId="9" dataCellStyle="Percent">
      <calculatedColumnFormula>IFERROR(ROUND((tblPiNHistorical[[#This Row],[CCCM - new]] - tblPiNHistorical[[#This Row],[CCCM - old]])/tblPiNHistorical[[#This Row],[CCCM - old]], 1), "")</calculatedColumnFormula>
    </tableColumn>
    <tableColumn id="26" xr3:uid="{10261328-1C0B-4D45-98A3-77FF935B86EE}" name="Education" dataDxfId="8" dataCellStyle="Percent">
      <calculatedColumnFormula>IFERROR(ROUND((tblPiNHistorical[[#This Row],[Education - new]]-tblPiNHistorical[[#This Row],[Education - old]])/tblPiNHistorical[[#This Row],[Education - old]], 1), "")</calculatedColumnFormula>
    </tableColumn>
    <tableColumn id="24" xr3:uid="{E1D42502-F0CC-4C4E-9DB3-2544989D2B90}" name="Nutrition" dataDxfId="7" dataCellStyle="Percent">
      <calculatedColumnFormula>IFERROR(ROUND((tblPiNHistorical[[#This Row],[Nutrition - new]]-tblPiNHistorical[[#This Row],[Nutrition - old]])/tblPiNHistorical[[#This Row],[Nutrition - old]], 1), "")</calculatedColumnFormula>
    </tableColumn>
    <tableColumn id="22" xr3:uid="{1B7E3635-614A-4EA6-B272-7391D69C00F2}" name="Food Security" dataDxfId="6" dataCellStyle="Percent">
      <calculatedColumnFormula>IFERROR(ROUND((tblPiNHistorical[[#This Row],[Food Security - new]]-tblPiNHistorical[[#This Row],[Food Security - old]])/tblPiNHistorical[[#This Row],[Food Security - old]], 1), "")</calculatedColumnFormula>
    </tableColumn>
    <tableColumn id="42" xr3:uid="{FC34482E-E387-497E-8003-2417B5E19C46}" name="Health" dataDxfId="5" dataCellStyle="Percent">
      <calculatedColumnFormula>IFERROR(ROUND((tblPiNHistorical[[#This Row],[Health - new]]-tblPiNHistorical[[#This Row],[Health - old]])/tblPiNHistorical[[#This Row],[Health - old]], 1), "")</calculatedColumnFormula>
    </tableColumn>
    <tableColumn id="20" xr3:uid="{65C345EC-E776-478C-8FB0-EA96406E6DCC}" name="Overarching Protection" dataDxfId="4" dataCellStyle="Percent">
      <calculatedColumnFormula>IFERROR(ROUND((tblPiNHistorical[[#This Row],[Overarching Protection - new]]-tblPiNHistorical[[#This Row],[Overarching Protection - old]])/tblPiNHistorical[[#This Row],[Overarching Protection - old]], 1), "")</calculatedColumnFormula>
    </tableColumn>
    <tableColumn id="41" xr3:uid="{0725D732-91AD-4A3F-9238-B3A1376580BF}" name="Shelter" dataDxfId="3" dataCellStyle="Percent">
      <calculatedColumnFormula>IFERROR(ROUND((tblPiNHistorical[[#This Row],[Shelter - new]]-tblPiNHistorical[[#This Row],[Shelter - old]])/tblPiNHistorical[[#This Row],[Shelter - old]], 1), "")</calculatedColumnFormula>
    </tableColumn>
    <tableColumn id="7" xr3:uid="{3CD32DEE-C0B2-4756-8061-4C4FC7A219E4}" name="WASH" dataDxfId="2">
      <calculatedColumnFormula>IFERROR(ROUND((tblPiNHistorical[[#This Row],[WASH - new]]-tblPiNHistorical[[#This Row],[WASH - old]])/tblPiNHistorical[[#This Row],[WASH - old]], 1), "")</calculatedColumnFormula>
    </tableColumn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9E69F-9856-4D47-A31A-7469FA8D9F17}">
  <sheetPr codeName="Sheet6">
    <tabColor theme="7" tint="0.59999389629810485"/>
  </sheetPr>
  <dimension ref="A1:AD142"/>
  <sheetViews>
    <sheetView showGridLines="0" tabSelected="1" zoomScale="90" zoomScaleNormal="90" workbookViewId="0">
      <pane ySplit="2" topLeftCell="A24" activePane="bottomLeft" state="frozen"/>
      <selection activeCell="R19" sqref="R19"/>
      <selection pane="bottomLeft" activeCell="N147" sqref="N147"/>
    </sheetView>
  </sheetViews>
  <sheetFormatPr defaultColWidth="8.5703125" defaultRowHeight="15" x14ac:dyDescent="0.25"/>
  <cols>
    <col min="1" max="1" width="18" style="41" customWidth="1"/>
    <col min="2" max="2" width="19.5703125" style="41" customWidth="1"/>
    <col min="3" max="3" width="24.7109375" style="41" bestFit="1" customWidth="1"/>
    <col min="4" max="4" width="18" style="41" customWidth="1"/>
    <col min="5" max="5" width="14.140625" style="3" customWidth="1"/>
    <col min="6" max="6" width="12.85546875" style="7" customWidth="1"/>
    <col min="7" max="12" width="12.85546875" style="3" customWidth="1"/>
    <col min="13" max="13" width="13.28515625" style="3" customWidth="1"/>
    <col min="14" max="17" width="13.140625" style="3" customWidth="1"/>
    <col min="18" max="18" width="22.28515625" style="7" customWidth="1"/>
    <col min="19" max="19" width="49.28515625" style="3" customWidth="1"/>
    <col min="20" max="20" width="25" bestFit="1" customWidth="1"/>
    <col min="21" max="22" width="23.42578125" customWidth="1"/>
    <col min="23" max="23" width="25.42578125" style="1" customWidth="1"/>
    <col min="24" max="24" width="27.28515625" customWidth="1"/>
    <col min="25" max="25" width="22.140625" customWidth="1"/>
    <col min="26" max="26" width="16" style="1" customWidth="1"/>
    <col min="27" max="27" width="11.140625" customWidth="1"/>
    <col min="28" max="28" width="12.5703125" style="4" customWidth="1"/>
    <col min="29" max="29" width="20" style="3" bestFit="1" customWidth="1"/>
    <col min="30" max="30" width="46.140625" style="1" customWidth="1"/>
  </cols>
  <sheetData>
    <row r="1" spans="1:30" ht="50.45" customHeight="1" thickTop="1" thickBot="1" x14ac:dyDescent="0.3">
      <c r="A1" s="132" t="s">
        <v>1</v>
      </c>
      <c r="B1" s="132"/>
      <c r="C1" s="132"/>
      <c r="D1" s="132"/>
      <c r="E1" s="129" t="s">
        <v>2</v>
      </c>
      <c r="F1" s="133" t="s">
        <v>3</v>
      </c>
      <c r="G1" s="133"/>
      <c r="H1" s="133"/>
      <c r="I1" s="133"/>
      <c r="J1" s="133"/>
      <c r="K1" s="133"/>
      <c r="L1" s="133"/>
      <c r="M1" s="133"/>
      <c r="N1" s="134" t="s">
        <v>4</v>
      </c>
      <c r="O1" s="134"/>
      <c r="P1" s="134"/>
      <c r="Q1" s="134"/>
      <c r="R1" s="33">
        <f>SUM(tblPiNAnalysis[Preliminary PiN])</f>
        <v>6151727</v>
      </c>
      <c r="S1" s="131">
        <f>SUM(tblPiNAnalysis[Final PiN])</f>
        <v>5953846</v>
      </c>
      <c r="T1" s="131"/>
      <c r="W1"/>
      <c r="Z1"/>
      <c r="AB1"/>
      <c r="AC1"/>
      <c r="AD1"/>
    </row>
    <row r="2" spans="1:30" ht="93.75" customHeight="1" thickTop="1" thickBot="1" x14ac:dyDescent="0.3">
      <c r="A2" s="53" t="s">
        <v>5</v>
      </c>
      <c r="B2" s="39" t="s">
        <v>6</v>
      </c>
      <c r="C2" s="39" t="s">
        <v>7</v>
      </c>
      <c r="D2" s="39" t="s">
        <v>8</v>
      </c>
      <c r="E2" s="38" t="s">
        <v>9</v>
      </c>
      <c r="F2" s="25" t="s">
        <v>10</v>
      </c>
      <c r="G2" s="31" t="s">
        <v>0</v>
      </c>
      <c r="H2" s="31" t="s">
        <v>11</v>
      </c>
      <c r="I2" s="31" t="s">
        <v>12</v>
      </c>
      <c r="J2" s="31" t="s">
        <v>13</v>
      </c>
      <c r="K2" s="31" t="s">
        <v>14</v>
      </c>
      <c r="L2" s="31" t="s">
        <v>15</v>
      </c>
      <c r="M2" s="43" t="s">
        <v>16</v>
      </c>
      <c r="N2" s="54" t="s">
        <v>364</v>
      </c>
      <c r="O2" s="54" t="s">
        <v>17</v>
      </c>
      <c r="P2" s="54" t="s">
        <v>18</v>
      </c>
      <c r="Q2" s="54" t="s">
        <v>362</v>
      </c>
      <c r="R2" s="34" t="s">
        <v>19</v>
      </c>
      <c r="S2" s="94" t="s">
        <v>20</v>
      </c>
      <c r="T2" s="95" t="s">
        <v>21</v>
      </c>
      <c r="W2"/>
      <c r="Z2"/>
      <c r="AB2"/>
      <c r="AC2"/>
      <c r="AD2"/>
    </row>
    <row r="3" spans="1:30" s="80" customFormat="1" ht="16.5" customHeight="1" thickTop="1" x14ac:dyDescent="0.25">
      <c r="A3" s="97" t="s">
        <v>347</v>
      </c>
      <c r="B3" s="105" t="s">
        <v>357</v>
      </c>
      <c r="C3" s="105" t="s">
        <v>313</v>
      </c>
      <c r="D3" s="40" t="s">
        <v>173</v>
      </c>
      <c r="E3" s="37">
        <v>926906</v>
      </c>
      <c r="F3" s="106">
        <v>147618</v>
      </c>
      <c r="G3" s="99">
        <v>123178</v>
      </c>
      <c r="H3" s="99">
        <v>106617</v>
      </c>
      <c r="I3" s="99">
        <v>461032</v>
      </c>
      <c r="J3" s="99">
        <v>364055</v>
      </c>
      <c r="K3" s="99">
        <v>202430</v>
      </c>
      <c r="L3" s="100">
        <v>165905</v>
      </c>
      <c r="M3" s="99">
        <v>396560</v>
      </c>
      <c r="N3" s="99">
        <v>116818</v>
      </c>
      <c r="O3" s="99">
        <v>61442</v>
      </c>
      <c r="P3" s="99">
        <v>202430</v>
      </c>
      <c r="Q3" s="99">
        <v>7495</v>
      </c>
      <c r="R3" s="20">
        <v>461032</v>
      </c>
      <c r="S3" s="107">
        <v>461032</v>
      </c>
      <c r="T3" s="108"/>
      <c r="W3" s="91"/>
      <c r="Z3" s="91"/>
      <c r="AB3" s="92"/>
      <c r="AC3" s="93"/>
      <c r="AD3" s="91"/>
    </row>
    <row r="4" spans="1:30" s="80" customFormat="1" ht="16.5" customHeight="1" x14ac:dyDescent="0.25">
      <c r="A4" s="97" t="s">
        <v>347</v>
      </c>
      <c r="B4" s="105" t="s">
        <v>357</v>
      </c>
      <c r="C4" s="105" t="s">
        <v>249</v>
      </c>
      <c r="D4" s="40" t="s">
        <v>109</v>
      </c>
      <c r="E4" s="37">
        <v>435779</v>
      </c>
      <c r="F4" s="106">
        <v>72923</v>
      </c>
      <c r="G4" s="99">
        <v>39625</v>
      </c>
      <c r="H4" s="99">
        <v>48274</v>
      </c>
      <c r="I4" s="99">
        <v>174768</v>
      </c>
      <c r="J4" s="99">
        <v>155594</v>
      </c>
      <c r="K4" s="99">
        <v>94639</v>
      </c>
      <c r="L4" s="100">
        <v>52615</v>
      </c>
      <c r="M4" s="99">
        <v>182217</v>
      </c>
      <c r="N4" s="99">
        <v>54548</v>
      </c>
      <c r="O4" s="99">
        <v>38774</v>
      </c>
      <c r="P4" s="99">
        <v>94639</v>
      </c>
      <c r="Q4" s="99">
        <v>3991</v>
      </c>
      <c r="R4" s="20">
        <v>182217</v>
      </c>
      <c r="S4" s="107">
        <v>182217</v>
      </c>
      <c r="T4" s="108"/>
      <c r="W4" s="91"/>
      <c r="Z4" s="91"/>
      <c r="AB4" s="92"/>
      <c r="AC4" s="93"/>
      <c r="AD4" s="91"/>
    </row>
    <row r="5" spans="1:30" s="80" customFormat="1" ht="16.5" customHeight="1" x14ac:dyDescent="0.25">
      <c r="A5" s="97" t="s">
        <v>347</v>
      </c>
      <c r="B5" s="105" t="s">
        <v>357</v>
      </c>
      <c r="C5" s="105" t="s">
        <v>233</v>
      </c>
      <c r="D5" s="40" t="s">
        <v>93</v>
      </c>
      <c r="E5" s="37">
        <v>460506</v>
      </c>
      <c r="F5" s="106">
        <v>14145</v>
      </c>
      <c r="G5" s="99">
        <v>68800</v>
      </c>
      <c r="H5" s="99">
        <v>53505</v>
      </c>
      <c r="I5" s="99">
        <v>120573</v>
      </c>
      <c r="J5" s="99">
        <v>61230</v>
      </c>
      <c r="K5" s="99">
        <v>51181</v>
      </c>
      <c r="L5" s="100">
        <v>35000</v>
      </c>
      <c r="M5" s="99">
        <v>58818</v>
      </c>
      <c r="N5" s="99">
        <v>8906</v>
      </c>
      <c r="O5" s="99">
        <v>51181</v>
      </c>
      <c r="P5" s="99">
        <v>37765</v>
      </c>
      <c r="Q5" s="99">
        <v>4074</v>
      </c>
      <c r="R5" s="20">
        <v>120573</v>
      </c>
      <c r="S5" s="107">
        <v>120573</v>
      </c>
      <c r="T5" s="108"/>
      <c r="W5" s="91"/>
      <c r="Z5" s="91"/>
      <c r="AB5" s="92"/>
      <c r="AC5" s="93"/>
      <c r="AD5" s="91"/>
    </row>
    <row r="6" spans="1:30" s="80" customFormat="1" ht="16.5" customHeight="1" x14ac:dyDescent="0.25">
      <c r="A6" s="97" t="s">
        <v>347</v>
      </c>
      <c r="B6" s="105" t="s">
        <v>357</v>
      </c>
      <c r="C6" s="105" t="s">
        <v>301</v>
      </c>
      <c r="D6" s="40" t="s">
        <v>161</v>
      </c>
      <c r="E6" s="37">
        <v>394895</v>
      </c>
      <c r="F6" s="106">
        <v>6894</v>
      </c>
      <c r="G6" s="99">
        <v>39391</v>
      </c>
      <c r="H6" s="99">
        <v>37187</v>
      </c>
      <c r="I6" s="99">
        <v>81775</v>
      </c>
      <c r="J6" s="99">
        <v>64415</v>
      </c>
      <c r="K6" s="99">
        <v>57727</v>
      </c>
      <c r="L6" s="100">
        <v>91635</v>
      </c>
      <c r="M6" s="99">
        <v>29406</v>
      </c>
      <c r="N6" s="99">
        <v>5626</v>
      </c>
      <c r="O6" s="99">
        <v>57727</v>
      </c>
      <c r="P6" s="99">
        <v>31998</v>
      </c>
      <c r="Q6" s="99">
        <v>2537</v>
      </c>
      <c r="R6" s="20">
        <v>91635</v>
      </c>
      <c r="S6" s="107">
        <v>91635</v>
      </c>
      <c r="T6" s="108"/>
      <c r="W6" s="91"/>
      <c r="Z6" s="91"/>
      <c r="AB6" s="92"/>
      <c r="AC6" s="93"/>
      <c r="AD6" s="91"/>
    </row>
    <row r="7" spans="1:30" ht="16.5" customHeight="1" x14ac:dyDescent="0.25">
      <c r="A7" s="97" t="s">
        <v>347</v>
      </c>
      <c r="B7" s="105" t="s">
        <v>357</v>
      </c>
      <c r="C7" s="105" t="s">
        <v>272</v>
      </c>
      <c r="D7" s="40" t="s">
        <v>132</v>
      </c>
      <c r="E7" s="37">
        <v>63006</v>
      </c>
      <c r="F7" s="106">
        <v>281</v>
      </c>
      <c r="G7" s="99">
        <v>10346</v>
      </c>
      <c r="H7" s="99">
        <v>5878</v>
      </c>
      <c r="I7" s="99">
        <v>25027</v>
      </c>
      <c r="J7" s="99">
        <v>13706</v>
      </c>
      <c r="K7" s="99">
        <v>13147</v>
      </c>
      <c r="L7" s="100">
        <v>0</v>
      </c>
      <c r="M7" s="99">
        <v>3229</v>
      </c>
      <c r="N7" s="99">
        <v>112</v>
      </c>
      <c r="O7" s="99">
        <v>11823</v>
      </c>
      <c r="P7" s="99">
        <v>13147</v>
      </c>
      <c r="Q7" s="99">
        <v>690</v>
      </c>
      <c r="R7" s="20">
        <v>25027</v>
      </c>
      <c r="S7" s="107">
        <v>25027</v>
      </c>
      <c r="T7" s="108"/>
    </row>
    <row r="8" spans="1:30" ht="16.5" customHeight="1" x14ac:dyDescent="0.25">
      <c r="A8" s="97" t="s">
        <v>347</v>
      </c>
      <c r="B8" s="105" t="s">
        <v>357</v>
      </c>
      <c r="C8" s="105" t="s">
        <v>265</v>
      </c>
      <c r="D8" s="40" t="s">
        <v>125</v>
      </c>
      <c r="E8" s="37">
        <v>3987</v>
      </c>
      <c r="F8" s="106">
        <v>0</v>
      </c>
      <c r="G8" s="99">
        <v>621</v>
      </c>
      <c r="H8" s="99">
        <v>2224</v>
      </c>
      <c r="I8" s="99">
        <v>17870</v>
      </c>
      <c r="J8" s="99">
        <v>1559</v>
      </c>
      <c r="K8" s="99">
        <v>2077</v>
      </c>
      <c r="L8" s="100">
        <v>0</v>
      </c>
      <c r="M8" s="99">
        <v>5668</v>
      </c>
      <c r="N8" s="99">
        <v>0</v>
      </c>
      <c r="O8" s="99">
        <v>2077</v>
      </c>
      <c r="P8" s="99">
        <v>828</v>
      </c>
      <c r="Q8" s="99">
        <v>762</v>
      </c>
      <c r="R8" s="20">
        <v>17870</v>
      </c>
      <c r="S8" s="107">
        <v>2224</v>
      </c>
      <c r="T8" s="108"/>
    </row>
    <row r="9" spans="1:30" ht="16.5" customHeight="1" x14ac:dyDescent="0.25">
      <c r="A9" s="97" t="s">
        <v>347</v>
      </c>
      <c r="B9" s="105" t="s">
        <v>357</v>
      </c>
      <c r="C9" s="105" t="s">
        <v>242</v>
      </c>
      <c r="D9" s="40" t="s">
        <v>102</v>
      </c>
      <c r="E9" s="37">
        <v>287439</v>
      </c>
      <c r="F9" s="106">
        <v>6077</v>
      </c>
      <c r="G9" s="99">
        <v>57454</v>
      </c>
      <c r="H9" s="99">
        <v>34445</v>
      </c>
      <c r="I9" s="99">
        <v>154679</v>
      </c>
      <c r="J9" s="99">
        <v>32826</v>
      </c>
      <c r="K9" s="99">
        <v>60691</v>
      </c>
      <c r="L9" s="100">
        <v>88798</v>
      </c>
      <c r="M9" s="99">
        <v>50859</v>
      </c>
      <c r="N9" s="99">
        <v>13167</v>
      </c>
      <c r="O9" s="99">
        <v>12116</v>
      </c>
      <c r="P9" s="99">
        <v>60691</v>
      </c>
      <c r="Q9" s="99">
        <v>776</v>
      </c>
      <c r="R9" s="20">
        <v>154679</v>
      </c>
      <c r="S9" s="107">
        <v>154679</v>
      </c>
      <c r="T9" s="108"/>
    </row>
    <row r="10" spans="1:30" ht="16.5" customHeight="1" x14ac:dyDescent="0.25">
      <c r="A10" s="97" t="s">
        <v>347</v>
      </c>
      <c r="B10" s="105" t="s">
        <v>357</v>
      </c>
      <c r="C10" s="105" t="s">
        <v>330</v>
      </c>
      <c r="D10" s="40" t="s">
        <v>190</v>
      </c>
      <c r="E10" s="37">
        <v>141693</v>
      </c>
      <c r="F10" s="106">
        <v>7362</v>
      </c>
      <c r="G10" s="99">
        <v>34195</v>
      </c>
      <c r="H10" s="99">
        <v>15429</v>
      </c>
      <c r="I10" s="99">
        <v>24984</v>
      </c>
      <c r="J10" s="99">
        <v>40944</v>
      </c>
      <c r="K10" s="99">
        <v>30858</v>
      </c>
      <c r="L10" s="100">
        <v>43949</v>
      </c>
      <c r="M10" s="99">
        <v>24845</v>
      </c>
      <c r="N10" s="99">
        <v>4364</v>
      </c>
      <c r="O10" s="99">
        <v>20372</v>
      </c>
      <c r="P10" s="99">
        <v>30858</v>
      </c>
      <c r="Q10" s="99">
        <v>1085</v>
      </c>
      <c r="R10" s="20">
        <v>43949</v>
      </c>
      <c r="S10" s="107">
        <v>43949</v>
      </c>
      <c r="T10" s="108"/>
    </row>
    <row r="11" spans="1:30" ht="16.5" customHeight="1" x14ac:dyDescent="0.25">
      <c r="A11" s="97" t="s">
        <v>347</v>
      </c>
      <c r="B11" s="105" t="s">
        <v>357</v>
      </c>
      <c r="C11" s="105" t="s">
        <v>280</v>
      </c>
      <c r="D11" s="40" t="s">
        <v>140</v>
      </c>
      <c r="E11" s="37">
        <v>233614</v>
      </c>
      <c r="F11" s="106">
        <v>22466</v>
      </c>
      <c r="G11" s="99">
        <v>40217</v>
      </c>
      <c r="H11" s="99">
        <v>19839</v>
      </c>
      <c r="I11" s="99">
        <v>97952</v>
      </c>
      <c r="J11" s="99">
        <v>82221</v>
      </c>
      <c r="K11" s="99">
        <v>58020</v>
      </c>
      <c r="L11" s="100">
        <v>98601</v>
      </c>
      <c r="M11" s="99">
        <v>56944</v>
      </c>
      <c r="N11" s="99">
        <v>11193</v>
      </c>
      <c r="O11" s="99">
        <v>58020</v>
      </c>
      <c r="P11" s="99">
        <v>49659</v>
      </c>
      <c r="Q11" s="99">
        <v>2249</v>
      </c>
      <c r="R11" s="20">
        <v>98601</v>
      </c>
      <c r="S11" s="107">
        <v>98601</v>
      </c>
      <c r="T11" s="108"/>
    </row>
    <row r="12" spans="1:30" ht="16.5" customHeight="1" x14ac:dyDescent="0.25">
      <c r="A12" s="97" t="s">
        <v>347</v>
      </c>
      <c r="B12" s="105" t="s">
        <v>357</v>
      </c>
      <c r="C12" s="105" t="s">
        <v>302</v>
      </c>
      <c r="D12" s="40" t="s">
        <v>162</v>
      </c>
      <c r="E12" s="37">
        <v>194867</v>
      </c>
      <c r="F12" s="106">
        <v>11238</v>
      </c>
      <c r="G12" s="99">
        <v>33448</v>
      </c>
      <c r="H12" s="99">
        <v>14940</v>
      </c>
      <c r="I12" s="99">
        <v>84791</v>
      </c>
      <c r="J12" s="99">
        <v>56424</v>
      </c>
      <c r="K12" s="99">
        <v>40671</v>
      </c>
      <c r="L12" s="100">
        <v>0</v>
      </c>
      <c r="M12" s="99">
        <v>34004</v>
      </c>
      <c r="N12" s="99">
        <v>4415</v>
      </c>
      <c r="O12" s="99">
        <v>23218</v>
      </c>
      <c r="P12" s="99">
        <v>40671</v>
      </c>
      <c r="Q12" s="99">
        <v>819</v>
      </c>
      <c r="R12" s="20">
        <v>84791</v>
      </c>
      <c r="S12" s="107">
        <v>84791</v>
      </c>
      <c r="T12" s="108"/>
    </row>
    <row r="13" spans="1:30" ht="16.5" customHeight="1" x14ac:dyDescent="0.25">
      <c r="A13" s="97" t="s">
        <v>347</v>
      </c>
      <c r="B13" s="105" t="s">
        <v>357</v>
      </c>
      <c r="C13" s="105" t="s">
        <v>261</v>
      </c>
      <c r="D13" s="40" t="s">
        <v>121</v>
      </c>
      <c r="E13" s="37">
        <v>157549</v>
      </c>
      <c r="F13" s="106">
        <v>12297</v>
      </c>
      <c r="G13" s="99">
        <v>26893</v>
      </c>
      <c r="H13" s="99">
        <v>12267</v>
      </c>
      <c r="I13" s="99">
        <v>66916</v>
      </c>
      <c r="J13" s="99">
        <v>49954</v>
      </c>
      <c r="K13" s="99">
        <v>34674</v>
      </c>
      <c r="L13" s="100">
        <v>55024</v>
      </c>
      <c r="M13" s="99">
        <v>32155</v>
      </c>
      <c r="N13" s="99">
        <v>4415</v>
      </c>
      <c r="O13" s="99">
        <v>15848</v>
      </c>
      <c r="P13" s="99">
        <v>34674</v>
      </c>
      <c r="Q13" s="99">
        <v>244</v>
      </c>
      <c r="R13" s="20">
        <v>66916</v>
      </c>
      <c r="S13" s="107">
        <v>66916</v>
      </c>
      <c r="T13" s="108"/>
    </row>
    <row r="14" spans="1:30" ht="16.5" customHeight="1" x14ac:dyDescent="0.25">
      <c r="A14" s="97" t="s">
        <v>347</v>
      </c>
      <c r="B14" s="105" t="s">
        <v>357</v>
      </c>
      <c r="C14" s="105" t="s">
        <v>247</v>
      </c>
      <c r="D14" s="40" t="s">
        <v>107</v>
      </c>
      <c r="E14" s="37">
        <v>129879</v>
      </c>
      <c r="F14" s="106">
        <v>6378</v>
      </c>
      <c r="G14" s="99">
        <v>22983</v>
      </c>
      <c r="H14" s="99">
        <v>64637</v>
      </c>
      <c r="I14" s="99">
        <v>70407</v>
      </c>
      <c r="J14" s="99">
        <v>22712</v>
      </c>
      <c r="K14" s="99">
        <v>57266</v>
      </c>
      <c r="L14" s="100">
        <v>35853</v>
      </c>
      <c r="M14" s="99">
        <v>29382</v>
      </c>
      <c r="N14" s="99">
        <v>10006</v>
      </c>
      <c r="O14" s="99">
        <v>57266</v>
      </c>
      <c r="P14" s="99">
        <v>27492</v>
      </c>
      <c r="Q14" s="99">
        <v>2080</v>
      </c>
      <c r="R14" s="20">
        <v>70407</v>
      </c>
      <c r="S14" s="107">
        <v>70407</v>
      </c>
      <c r="T14" s="108"/>
    </row>
    <row r="15" spans="1:30" ht="16.5" customHeight="1" x14ac:dyDescent="0.25">
      <c r="A15" s="97" t="s">
        <v>347</v>
      </c>
      <c r="B15" s="105" t="s">
        <v>357</v>
      </c>
      <c r="C15" s="105" t="s">
        <v>335</v>
      </c>
      <c r="D15" s="40" t="s">
        <v>195</v>
      </c>
      <c r="E15" s="37">
        <v>54753</v>
      </c>
      <c r="F15" s="106">
        <v>285</v>
      </c>
      <c r="G15" s="99">
        <v>8888</v>
      </c>
      <c r="H15" s="99">
        <v>6102</v>
      </c>
      <c r="I15" s="99">
        <v>25962</v>
      </c>
      <c r="J15" s="99">
        <v>12865</v>
      </c>
      <c r="K15" s="99">
        <v>16342</v>
      </c>
      <c r="L15" s="100">
        <v>0</v>
      </c>
      <c r="M15" s="99">
        <v>8856</v>
      </c>
      <c r="N15" s="99">
        <v>124</v>
      </c>
      <c r="O15" s="99">
        <v>16342</v>
      </c>
      <c r="P15" s="99">
        <v>11127</v>
      </c>
      <c r="Q15" s="99">
        <v>1373</v>
      </c>
      <c r="R15" s="20">
        <v>25962</v>
      </c>
      <c r="S15" s="107">
        <v>25962</v>
      </c>
      <c r="T15" s="108"/>
    </row>
    <row r="16" spans="1:30" ht="16.5" customHeight="1" x14ac:dyDescent="0.25">
      <c r="A16" s="97" t="s">
        <v>347</v>
      </c>
      <c r="B16" s="105" t="s">
        <v>357</v>
      </c>
      <c r="C16" s="105" t="s">
        <v>258</v>
      </c>
      <c r="D16" s="40" t="s">
        <v>118</v>
      </c>
      <c r="E16" s="37">
        <v>65036</v>
      </c>
      <c r="F16" s="106">
        <v>15873</v>
      </c>
      <c r="G16" s="99">
        <v>10820</v>
      </c>
      <c r="H16" s="99">
        <v>12913</v>
      </c>
      <c r="I16" s="99">
        <v>30655</v>
      </c>
      <c r="J16" s="99">
        <v>39062</v>
      </c>
      <c r="K16" s="99">
        <v>16469</v>
      </c>
      <c r="L16" s="100">
        <v>15000</v>
      </c>
      <c r="M16" s="99">
        <v>38172</v>
      </c>
      <c r="N16" s="99">
        <v>8140</v>
      </c>
      <c r="O16" s="99">
        <v>16469</v>
      </c>
      <c r="P16" s="99">
        <v>13411</v>
      </c>
      <c r="Q16" s="99">
        <v>2188</v>
      </c>
      <c r="R16" s="20">
        <v>39062</v>
      </c>
      <c r="S16" s="107">
        <v>39062</v>
      </c>
      <c r="T16" s="108"/>
    </row>
    <row r="17" spans="1:20" ht="16.5" customHeight="1" x14ac:dyDescent="0.25">
      <c r="A17" s="97" t="s">
        <v>347</v>
      </c>
      <c r="B17" s="105" t="s">
        <v>357</v>
      </c>
      <c r="C17" s="105" t="s">
        <v>244</v>
      </c>
      <c r="D17" s="40" t="s">
        <v>104</v>
      </c>
      <c r="E17" s="37">
        <v>66185</v>
      </c>
      <c r="F17" s="106">
        <v>1391</v>
      </c>
      <c r="G17" s="99">
        <v>12367</v>
      </c>
      <c r="H17" s="99">
        <v>5826</v>
      </c>
      <c r="I17" s="99">
        <v>29246</v>
      </c>
      <c r="J17" s="99">
        <v>31519</v>
      </c>
      <c r="K17" s="99">
        <v>16224</v>
      </c>
      <c r="L17" s="100">
        <v>0</v>
      </c>
      <c r="M17" s="99">
        <v>6976</v>
      </c>
      <c r="N17" s="99">
        <v>556</v>
      </c>
      <c r="O17" s="99">
        <v>5755</v>
      </c>
      <c r="P17" s="99">
        <v>5157</v>
      </c>
      <c r="Q17" s="99">
        <v>16224</v>
      </c>
      <c r="R17" s="20">
        <v>31519</v>
      </c>
      <c r="S17" s="107">
        <v>31519</v>
      </c>
      <c r="T17" s="108"/>
    </row>
    <row r="18" spans="1:20" ht="16.5" customHeight="1" x14ac:dyDescent="0.25">
      <c r="A18" s="97" t="s">
        <v>347</v>
      </c>
      <c r="B18" s="105" t="s">
        <v>357</v>
      </c>
      <c r="C18" s="105" t="s">
        <v>255</v>
      </c>
      <c r="D18" s="40" t="s">
        <v>115</v>
      </c>
      <c r="E18" s="37">
        <v>54717</v>
      </c>
      <c r="F18" s="106">
        <v>0</v>
      </c>
      <c r="G18" s="99">
        <v>10517</v>
      </c>
      <c r="H18" s="99">
        <v>7193</v>
      </c>
      <c r="I18" s="99">
        <v>21798</v>
      </c>
      <c r="J18" s="99">
        <v>14123</v>
      </c>
      <c r="K18" s="99">
        <v>11159</v>
      </c>
      <c r="L18" s="100">
        <v>17680</v>
      </c>
      <c r="M18" s="99">
        <v>4715</v>
      </c>
      <c r="N18" s="99">
        <v>0</v>
      </c>
      <c r="O18" s="99">
        <v>11159</v>
      </c>
      <c r="P18" s="99">
        <v>4308</v>
      </c>
      <c r="Q18" s="99">
        <v>3180</v>
      </c>
      <c r="R18" s="20">
        <v>21798</v>
      </c>
      <c r="S18" s="107">
        <v>21798</v>
      </c>
      <c r="T18" s="108"/>
    </row>
    <row r="19" spans="1:20" ht="16.5" customHeight="1" x14ac:dyDescent="0.25">
      <c r="A19" s="97" t="s">
        <v>347</v>
      </c>
      <c r="B19" s="105" t="s">
        <v>357</v>
      </c>
      <c r="C19" s="105" t="s">
        <v>211</v>
      </c>
      <c r="D19" s="40" t="s">
        <v>71</v>
      </c>
      <c r="E19" s="37">
        <v>142752</v>
      </c>
      <c r="F19" s="106">
        <v>18480</v>
      </c>
      <c r="G19" s="99">
        <v>26093</v>
      </c>
      <c r="H19" s="99">
        <v>12712</v>
      </c>
      <c r="I19" s="99">
        <v>56781</v>
      </c>
      <c r="J19" s="99">
        <v>56608</v>
      </c>
      <c r="K19" s="99">
        <v>24861</v>
      </c>
      <c r="L19" s="100">
        <v>12320</v>
      </c>
      <c r="M19" s="99">
        <v>53098</v>
      </c>
      <c r="N19" s="99">
        <v>3041</v>
      </c>
      <c r="O19" s="99">
        <v>24861</v>
      </c>
      <c r="P19" s="99">
        <v>4268</v>
      </c>
      <c r="Q19" s="99">
        <v>707</v>
      </c>
      <c r="R19" s="20">
        <v>56781</v>
      </c>
      <c r="S19" s="107">
        <v>56781</v>
      </c>
      <c r="T19" s="108"/>
    </row>
    <row r="20" spans="1:20" ht="16.5" customHeight="1" x14ac:dyDescent="0.25">
      <c r="A20" s="97" t="s">
        <v>347</v>
      </c>
      <c r="B20" s="105" t="s">
        <v>357</v>
      </c>
      <c r="C20" s="105" t="s">
        <v>227</v>
      </c>
      <c r="D20" s="40" t="s">
        <v>87</v>
      </c>
      <c r="E20" s="37">
        <v>65302</v>
      </c>
      <c r="F20" s="106">
        <v>15545</v>
      </c>
      <c r="G20" s="99">
        <v>11473</v>
      </c>
      <c r="H20" s="99">
        <v>9318</v>
      </c>
      <c r="I20" s="99">
        <v>29738</v>
      </c>
      <c r="J20" s="99">
        <v>37070</v>
      </c>
      <c r="K20" s="99">
        <v>22927</v>
      </c>
      <c r="L20" s="100">
        <v>10363</v>
      </c>
      <c r="M20" s="99">
        <v>46835</v>
      </c>
      <c r="N20" s="99">
        <v>4032</v>
      </c>
      <c r="O20" s="99">
        <v>22927</v>
      </c>
      <c r="P20" s="99">
        <v>13593</v>
      </c>
      <c r="Q20" s="99">
        <v>194</v>
      </c>
      <c r="R20" s="20">
        <v>46835</v>
      </c>
      <c r="S20" s="107">
        <v>46835</v>
      </c>
      <c r="T20" s="108"/>
    </row>
    <row r="21" spans="1:20" ht="16.5" customHeight="1" x14ac:dyDescent="0.25">
      <c r="A21" s="97" t="s">
        <v>347</v>
      </c>
      <c r="B21" s="105" t="s">
        <v>357</v>
      </c>
      <c r="C21" s="105" t="s">
        <v>207</v>
      </c>
      <c r="D21" s="40" t="s">
        <v>67</v>
      </c>
      <c r="E21" s="37">
        <v>70156</v>
      </c>
      <c r="F21" s="106">
        <v>2583</v>
      </c>
      <c r="G21" s="99">
        <v>13372</v>
      </c>
      <c r="H21" s="99">
        <v>6911</v>
      </c>
      <c r="I21" s="99">
        <v>40890</v>
      </c>
      <c r="J21" s="99">
        <v>17872</v>
      </c>
      <c r="K21" s="99">
        <v>12190</v>
      </c>
      <c r="L21" s="100">
        <v>42771</v>
      </c>
      <c r="M21" s="99">
        <v>19161</v>
      </c>
      <c r="N21" s="99">
        <v>1033</v>
      </c>
      <c r="O21" s="99">
        <v>12190</v>
      </c>
      <c r="P21" s="99">
        <v>5614</v>
      </c>
      <c r="Q21" s="99">
        <v>18</v>
      </c>
      <c r="R21" s="20">
        <v>42771</v>
      </c>
      <c r="S21" s="107">
        <v>40890</v>
      </c>
      <c r="T21" s="108"/>
    </row>
    <row r="22" spans="1:20" ht="16.5" customHeight="1" x14ac:dyDescent="0.25">
      <c r="A22" s="97" t="s">
        <v>347</v>
      </c>
      <c r="B22" s="105" t="s">
        <v>357</v>
      </c>
      <c r="C22" s="105" t="s">
        <v>311</v>
      </c>
      <c r="D22" s="40" t="s">
        <v>171</v>
      </c>
      <c r="E22" s="37">
        <v>26818</v>
      </c>
      <c r="F22" s="106">
        <v>2180</v>
      </c>
      <c r="G22" s="99">
        <v>4958</v>
      </c>
      <c r="H22" s="99">
        <v>2777</v>
      </c>
      <c r="I22" s="99">
        <v>16026</v>
      </c>
      <c r="J22" s="99">
        <v>8672</v>
      </c>
      <c r="K22" s="99">
        <v>5449</v>
      </c>
      <c r="L22" s="100">
        <v>9253</v>
      </c>
      <c r="M22" s="99">
        <v>9257</v>
      </c>
      <c r="N22" s="99">
        <v>872</v>
      </c>
      <c r="O22" s="99">
        <v>5117</v>
      </c>
      <c r="P22" s="99">
        <v>5449</v>
      </c>
      <c r="Q22" s="99">
        <v>83</v>
      </c>
      <c r="R22" s="20">
        <v>16026</v>
      </c>
      <c r="S22" s="107">
        <v>16026</v>
      </c>
      <c r="T22" s="108"/>
    </row>
    <row r="23" spans="1:20" ht="16.5" customHeight="1" x14ac:dyDescent="0.25">
      <c r="A23" s="97" t="s">
        <v>345</v>
      </c>
      <c r="B23" s="105" t="s">
        <v>355</v>
      </c>
      <c r="C23" s="105" t="s">
        <v>269</v>
      </c>
      <c r="D23" s="40" t="s">
        <v>129</v>
      </c>
      <c r="E23" s="37">
        <v>258099</v>
      </c>
      <c r="F23" s="106">
        <v>52466</v>
      </c>
      <c r="G23" s="99">
        <v>24182</v>
      </c>
      <c r="H23" s="99">
        <v>22960</v>
      </c>
      <c r="I23" s="99">
        <v>123165</v>
      </c>
      <c r="J23" s="99">
        <v>148487</v>
      </c>
      <c r="K23" s="99">
        <v>41360</v>
      </c>
      <c r="L23" s="100">
        <v>110098</v>
      </c>
      <c r="M23" s="99">
        <v>119515</v>
      </c>
      <c r="N23" s="99">
        <v>19468</v>
      </c>
      <c r="O23" s="99">
        <v>41360</v>
      </c>
      <c r="P23" s="99">
        <v>21000</v>
      </c>
      <c r="Q23" s="99">
        <v>14057</v>
      </c>
      <c r="R23" s="20">
        <v>148487</v>
      </c>
      <c r="S23" s="107">
        <v>148487</v>
      </c>
      <c r="T23" s="108"/>
    </row>
    <row r="24" spans="1:20" ht="16.5" customHeight="1" x14ac:dyDescent="0.25">
      <c r="A24" s="97" t="s">
        <v>345</v>
      </c>
      <c r="B24" s="105" t="s">
        <v>355</v>
      </c>
      <c r="C24" s="105" t="s">
        <v>288</v>
      </c>
      <c r="D24" s="40" t="s">
        <v>148</v>
      </c>
      <c r="E24" s="37">
        <v>92869</v>
      </c>
      <c r="F24" s="106">
        <v>6090</v>
      </c>
      <c r="G24" s="99">
        <v>9178</v>
      </c>
      <c r="H24" s="99">
        <v>7782</v>
      </c>
      <c r="I24" s="99">
        <v>36557</v>
      </c>
      <c r="J24" s="99">
        <v>41292</v>
      </c>
      <c r="K24" s="99">
        <v>11847</v>
      </c>
      <c r="L24" s="100">
        <v>25903</v>
      </c>
      <c r="M24" s="99">
        <v>21682</v>
      </c>
      <c r="N24" s="99">
        <v>2128</v>
      </c>
      <c r="O24" s="99">
        <v>8011</v>
      </c>
      <c r="P24" s="99">
        <v>7794</v>
      </c>
      <c r="Q24" s="99">
        <v>11847</v>
      </c>
      <c r="R24" s="20">
        <v>41292</v>
      </c>
      <c r="S24" s="107">
        <v>41292</v>
      </c>
      <c r="T24" s="108"/>
    </row>
    <row r="25" spans="1:20" ht="16.5" customHeight="1" x14ac:dyDescent="0.25">
      <c r="A25" s="97" t="s">
        <v>345</v>
      </c>
      <c r="B25" s="105" t="s">
        <v>355</v>
      </c>
      <c r="C25" s="105" t="s">
        <v>235</v>
      </c>
      <c r="D25" s="40" t="s">
        <v>95</v>
      </c>
      <c r="E25" s="37">
        <v>49845</v>
      </c>
      <c r="F25" s="106">
        <v>2825</v>
      </c>
      <c r="G25" s="99">
        <v>5095</v>
      </c>
      <c r="H25" s="99">
        <v>4218</v>
      </c>
      <c r="I25" s="99">
        <v>18674</v>
      </c>
      <c r="J25" s="99">
        <v>25804</v>
      </c>
      <c r="K25" s="99">
        <v>10658</v>
      </c>
      <c r="L25" s="100">
        <v>16520</v>
      </c>
      <c r="M25" s="99">
        <v>8437</v>
      </c>
      <c r="N25" s="99">
        <v>848</v>
      </c>
      <c r="O25" s="99">
        <v>6828</v>
      </c>
      <c r="P25" s="99">
        <v>4130</v>
      </c>
      <c r="Q25" s="99">
        <v>10658</v>
      </c>
      <c r="R25" s="20">
        <v>25804</v>
      </c>
      <c r="S25" s="107">
        <v>25804</v>
      </c>
      <c r="T25" s="108"/>
    </row>
    <row r="26" spans="1:20" ht="16.5" customHeight="1" x14ac:dyDescent="0.25">
      <c r="A26" s="97" t="s">
        <v>345</v>
      </c>
      <c r="B26" s="105" t="s">
        <v>355</v>
      </c>
      <c r="C26" s="105" t="s">
        <v>277</v>
      </c>
      <c r="D26" s="40" t="s">
        <v>137</v>
      </c>
      <c r="E26" s="37">
        <v>47372</v>
      </c>
      <c r="F26" s="106">
        <v>6036</v>
      </c>
      <c r="G26" s="99">
        <v>4796</v>
      </c>
      <c r="H26" s="99">
        <v>4083</v>
      </c>
      <c r="I26" s="99">
        <v>15874</v>
      </c>
      <c r="J26" s="99">
        <v>21845</v>
      </c>
      <c r="K26" s="99">
        <v>4783</v>
      </c>
      <c r="L26" s="100">
        <v>19350</v>
      </c>
      <c r="M26" s="99">
        <v>14464</v>
      </c>
      <c r="N26" s="99">
        <v>1977</v>
      </c>
      <c r="O26" s="99">
        <v>4783</v>
      </c>
      <c r="P26" s="99">
        <v>3686</v>
      </c>
      <c r="Q26" s="99">
        <v>2490</v>
      </c>
      <c r="R26" s="20">
        <v>21845</v>
      </c>
      <c r="S26" s="107">
        <v>21845</v>
      </c>
      <c r="T26" s="108"/>
    </row>
    <row r="27" spans="1:20" ht="16.5" customHeight="1" x14ac:dyDescent="0.25">
      <c r="A27" s="97" t="s">
        <v>345</v>
      </c>
      <c r="B27" s="105" t="s">
        <v>355</v>
      </c>
      <c r="C27" s="105" t="s">
        <v>216</v>
      </c>
      <c r="D27" s="40" t="s">
        <v>76</v>
      </c>
      <c r="E27" s="37">
        <v>113034</v>
      </c>
      <c r="F27" s="106">
        <v>14684</v>
      </c>
      <c r="G27" s="99">
        <v>11800</v>
      </c>
      <c r="H27" s="99">
        <v>9410</v>
      </c>
      <c r="I27" s="99">
        <v>39746</v>
      </c>
      <c r="J27" s="99">
        <v>49729</v>
      </c>
      <c r="K27" s="99">
        <v>13785</v>
      </c>
      <c r="L27" s="100">
        <v>43231</v>
      </c>
      <c r="M27" s="99">
        <v>35255</v>
      </c>
      <c r="N27" s="99">
        <v>4174</v>
      </c>
      <c r="O27" s="99">
        <v>13785</v>
      </c>
      <c r="P27" s="99">
        <v>9059</v>
      </c>
      <c r="Q27" s="99">
        <v>3130</v>
      </c>
      <c r="R27" s="20">
        <v>49729</v>
      </c>
      <c r="S27" s="107">
        <v>49729</v>
      </c>
      <c r="T27" s="108"/>
    </row>
    <row r="28" spans="1:20" ht="16.5" customHeight="1" x14ac:dyDescent="0.25">
      <c r="A28" s="97" t="s">
        <v>345</v>
      </c>
      <c r="B28" s="105" t="s">
        <v>355</v>
      </c>
      <c r="C28" s="105" t="s">
        <v>246</v>
      </c>
      <c r="D28" s="40" t="s">
        <v>106</v>
      </c>
      <c r="E28" s="37">
        <v>63370</v>
      </c>
      <c r="F28" s="106">
        <v>7538</v>
      </c>
      <c r="G28" s="99">
        <v>6446</v>
      </c>
      <c r="H28" s="99">
        <v>5006</v>
      </c>
      <c r="I28" s="99">
        <v>23065</v>
      </c>
      <c r="J28" s="99">
        <v>27221</v>
      </c>
      <c r="K28" s="99">
        <v>9885</v>
      </c>
      <c r="L28" s="100">
        <v>0</v>
      </c>
      <c r="M28" s="99">
        <v>18902</v>
      </c>
      <c r="N28" s="99">
        <v>2523</v>
      </c>
      <c r="O28" s="99">
        <v>9885</v>
      </c>
      <c r="P28" s="99">
        <v>4875</v>
      </c>
      <c r="Q28" s="99">
        <v>2124</v>
      </c>
      <c r="R28" s="20">
        <v>27221</v>
      </c>
      <c r="S28" s="107">
        <v>27221</v>
      </c>
      <c r="T28" s="108"/>
    </row>
    <row r="29" spans="1:20" ht="16.5" customHeight="1" x14ac:dyDescent="0.25">
      <c r="A29" s="97" t="s">
        <v>345</v>
      </c>
      <c r="B29" s="105" t="s">
        <v>355</v>
      </c>
      <c r="C29" s="105" t="s">
        <v>222</v>
      </c>
      <c r="D29" s="40" t="s">
        <v>82</v>
      </c>
      <c r="E29" s="37">
        <v>95781</v>
      </c>
      <c r="F29" s="106">
        <v>8187</v>
      </c>
      <c r="G29" s="99">
        <v>10088</v>
      </c>
      <c r="H29" s="99">
        <v>8511</v>
      </c>
      <c r="I29" s="99">
        <v>45508</v>
      </c>
      <c r="J29" s="99">
        <v>59751</v>
      </c>
      <c r="K29" s="99">
        <v>26562</v>
      </c>
      <c r="L29" s="100">
        <v>21200</v>
      </c>
      <c r="M29" s="99">
        <v>26176</v>
      </c>
      <c r="N29" s="99">
        <v>1515</v>
      </c>
      <c r="O29" s="99">
        <v>11124</v>
      </c>
      <c r="P29" s="99">
        <v>7867</v>
      </c>
      <c r="Q29" s="99">
        <v>26562</v>
      </c>
      <c r="R29" s="20">
        <v>59751</v>
      </c>
      <c r="S29" s="107">
        <v>59751</v>
      </c>
      <c r="T29" s="108"/>
    </row>
    <row r="30" spans="1:20" ht="16.5" customHeight="1" x14ac:dyDescent="0.25">
      <c r="A30" s="97" t="s">
        <v>345</v>
      </c>
      <c r="B30" s="105" t="s">
        <v>355</v>
      </c>
      <c r="C30" s="105" t="s">
        <v>262</v>
      </c>
      <c r="D30" s="40" t="s">
        <v>122</v>
      </c>
      <c r="E30" s="37">
        <v>25416</v>
      </c>
      <c r="F30" s="106">
        <v>7575</v>
      </c>
      <c r="G30" s="99">
        <v>2886</v>
      </c>
      <c r="H30" s="99">
        <v>2044</v>
      </c>
      <c r="I30" s="99">
        <v>10221</v>
      </c>
      <c r="J30" s="99">
        <v>27371</v>
      </c>
      <c r="K30" s="99">
        <v>10568</v>
      </c>
      <c r="L30" s="100">
        <v>7452</v>
      </c>
      <c r="M30" s="99">
        <v>21952</v>
      </c>
      <c r="N30" s="99">
        <v>1355</v>
      </c>
      <c r="O30" s="99">
        <v>6772</v>
      </c>
      <c r="P30" s="99">
        <v>2077</v>
      </c>
      <c r="Q30" s="99">
        <v>10568</v>
      </c>
      <c r="R30" s="20">
        <v>27371</v>
      </c>
      <c r="S30" s="107">
        <v>21952</v>
      </c>
      <c r="T30" s="108"/>
    </row>
    <row r="31" spans="1:20" ht="16.5" customHeight="1" x14ac:dyDescent="0.25">
      <c r="A31" s="97" t="s">
        <v>345</v>
      </c>
      <c r="B31" s="105" t="s">
        <v>355</v>
      </c>
      <c r="C31" s="105" t="s">
        <v>333</v>
      </c>
      <c r="D31" s="40" t="s">
        <v>193</v>
      </c>
      <c r="E31" s="37">
        <v>46178</v>
      </c>
      <c r="F31" s="106">
        <v>6900</v>
      </c>
      <c r="G31" s="99">
        <v>4690</v>
      </c>
      <c r="H31" s="99">
        <v>3550</v>
      </c>
      <c r="I31" s="99">
        <v>19337</v>
      </c>
      <c r="J31" s="99">
        <v>47990</v>
      </c>
      <c r="K31" s="99">
        <v>27619</v>
      </c>
      <c r="L31" s="100">
        <v>13859</v>
      </c>
      <c r="M31" s="99">
        <v>20049</v>
      </c>
      <c r="N31" s="99">
        <v>2073</v>
      </c>
      <c r="O31" s="99">
        <v>6687</v>
      </c>
      <c r="P31" s="99">
        <v>3730</v>
      </c>
      <c r="Q31" s="99">
        <v>27619</v>
      </c>
      <c r="R31" s="20">
        <v>47990</v>
      </c>
      <c r="S31" s="107">
        <v>27619</v>
      </c>
      <c r="T31" s="108"/>
    </row>
    <row r="32" spans="1:20" ht="16.5" customHeight="1" x14ac:dyDescent="0.25">
      <c r="A32" s="86" t="s">
        <v>345</v>
      </c>
      <c r="B32" s="65" t="s">
        <v>355</v>
      </c>
      <c r="C32" s="87" t="s">
        <v>205</v>
      </c>
      <c r="D32" s="40" t="s">
        <v>65</v>
      </c>
      <c r="E32" s="37">
        <v>43459</v>
      </c>
      <c r="F32" s="88">
        <v>11250</v>
      </c>
      <c r="G32" s="66">
        <v>4320</v>
      </c>
      <c r="H32" s="66">
        <v>3431</v>
      </c>
      <c r="I32" s="66">
        <v>15269</v>
      </c>
      <c r="J32" s="99">
        <v>77676</v>
      </c>
      <c r="K32" s="66">
        <v>51465</v>
      </c>
      <c r="L32" s="100">
        <v>31070</v>
      </c>
      <c r="M32" s="99">
        <v>35930</v>
      </c>
      <c r="N32" s="66">
        <v>3634</v>
      </c>
      <c r="O32" s="66">
        <v>7618</v>
      </c>
      <c r="P32" s="66">
        <v>3486</v>
      </c>
      <c r="Q32" s="99">
        <v>51465</v>
      </c>
      <c r="R32" s="20">
        <v>77676</v>
      </c>
      <c r="S32" s="89">
        <v>51465</v>
      </c>
      <c r="T32" s="108"/>
    </row>
    <row r="33" spans="1:20" ht="16.5" customHeight="1" x14ac:dyDescent="0.25">
      <c r="A33" s="97" t="s">
        <v>343</v>
      </c>
      <c r="B33" s="105" t="s">
        <v>353</v>
      </c>
      <c r="C33" s="105" t="s">
        <v>229</v>
      </c>
      <c r="D33" s="40" t="s">
        <v>89</v>
      </c>
      <c r="E33" s="37">
        <v>303590</v>
      </c>
      <c r="F33" s="106">
        <v>23760</v>
      </c>
      <c r="G33" s="99">
        <v>26859</v>
      </c>
      <c r="H33" s="99">
        <v>27934</v>
      </c>
      <c r="I33" s="99">
        <v>95544</v>
      </c>
      <c r="J33" s="99">
        <v>109547</v>
      </c>
      <c r="K33" s="99">
        <v>36539</v>
      </c>
      <c r="L33" s="100">
        <v>123785</v>
      </c>
      <c r="M33" s="99">
        <v>82987</v>
      </c>
      <c r="N33" s="99">
        <v>9025</v>
      </c>
      <c r="O33" s="99">
        <v>36539</v>
      </c>
      <c r="P33" s="99">
        <v>25578</v>
      </c>
      <c r="Q33" s="99">
        <v>7593</v>
      </c>
      <c r="R33" s="20">
        <v>123785</v>
      </c>
      <c r="S33" s="107">
        <v>123785</v>
      </c>
      <c r="T33" s="108"/>
    </row>
    <row r="34" spans="1:20" ht="16.5" customHeight="1" x14ac:dyDescent="0.25">
      <c r="A34" s="97" t="s">
        <v>343</v>
      </c>
      <c r="B34" s="105" t="s">
        <v>353</v>
      </c>
      <c r="C34" s="105" t="s">
        <v>317</v>
      </c>
      <c r="D34" s="40" t="s">
        <v>177</v>
      </c>
      <c r="E34" s="37">
        <v>29881</v>
      </c>
      <c r="F34" s="106">
        <v>1800</v>
      </c>
      <c r="G34" s="99">
        <v>2610</v>
      </c>
      <c r="H34" s="99">
        <v>2757</v>
      </c>
      <c r="I34" s="99">
        <v>13412</v>
      </c>
      <c r="J34" s="99">
        <v>9640</v>
      </c>
      <c r="K34" s="99">
        <v>7924</v>
      </c>
      <c r="L34" s="100">
        <v>19584</v>
      </c>
      <c r="M34" s="99">
        <v>7502</v>
      </c>
      <c r="N34" s="99">
        <v>515</v>
      </c>
      <c r="O34" s="99">
        <v>7924</v>
      </c>
      <c r="P34" s="99">
        <v>2363</v>
      </c>
      <c r="Q34" s="99">
        <v>402</v>
      </c>
      <c r="R34" s="20">
        <v>19584</v>
      </c>
      <c r="S34" s="107">
        <v>13412</v>
      </c>
      <c r="T34" s="108"/>
    </row>
    <row r="35" spans="1:20" ht="16.5" customHeight="1" x14ac:dyDescent="0.25">
      <c r="A35" s="97" t="s">
        <v>343</v>
      </c>
      <c r="B35" s="105" t="s">
        <v>353</v>
      </c>
      <c r="C35" s="105" t="s">
        <v>285</v>
      </c>
      <c r="D35" s="40" t="s">
        <v>145</v>
      </c>
      <c r="E35" s="37">
        <v>61261</v>
      </c>
      <c r="F35" s="106">
        <v>5150</v>
      </c>
      <c r="G35" s="99">
        <v>5852</v>
      </c>
      <c r="H35" s="99">
        <v>5392</v>
      </c>
      <c r="I35" s="99">
        <v>27034</v>
      </c>
      <c r="J35" s="99">
        <v>22408</v>
      </c>
      <c r="K35" s="99">
        <v>8828</v>
      </c>
      <c r="L35" s="100">
        <v>33572</v>
      </c>
      <c r="M35" s="99">
        <v>17233</v>
      </c>
      <c r="N35" s="99">
        <v>1234</v>
      </c>
      <c r="O35" s="99">
        <v>8828</v>
      </c>
      <c r="P35" s="99">
        <v>4907</v>
      </c>
      <c r="Q35" s="99">
        <v>1309</v>
      </c>
      <c r="R35" s="20">
        <v>33572</v>
      </c>
      <c r="S35" s="107">
        <v>33572</v>
      </c>
      <c r="T35" s="108"/>
    </row>
    <row r="36" spans="1:20" ht="16.5" customHeight="1" x14ac:dyDescent="0.25">
      <c r="A36" s="86" t="s">
        <v>343</v>
      </c>
      <c r="B36" s="65" t="s">
        <v>353</v>
      </c>
      <c r="C36" s="87" t="s">
        <v>203</v>
      </c>
      <c r="D36" s="87" t="s">
        <v>63</v>
      </c>
      <c r="E36" s="37">
        <v>59632</v>
      </c>
      <c r="F36" s="88">
        <v>1538</v>
      </c>
      <c r="G36" s="66">
        <v>5287</v>
      </c>
      <c r="H36" s="66">
        <v>5524</v>
      </c>
      <c r="I36" s="66">
        <v>27408</v>
      </c>
      <c r="J36" s="99">
        <v>16270</v>
      </c>
      <c r="K36" s="66">
        <v>8598</v>
      </c>
      <c r="L36" s="100">
        <v>31745</v>
      </c>
      <c r="M36" s="99">
        <v>29358</v>
      </c>
      <c r="N36" s="66">
        <v>515</v>
      </c>
      <c r="O36" s="66">
        <v>8598</v>
      </c>
      <c r="P36" s="66">
        <v>1793</v>
      </c>
      <c r="Q36" s="99">
        <v>875</v>
      </c>
      <c r="R36" s="20">
        <v>31745</v>
      </c>
      <c r="S36" s="89">
        <v>31745</v>
      </c>
      <c r="T36" s="108"/>
    </row>
    <row r="37" spans="1:20" ht="16.5" customHeight="1" x14ac:dyDescent="0.25">
      <c r="A37" s="97" t="s">
        <v>343</v>
      </c>
      <c r="B37" s="105" t="s">
        <v>353</v>
      </c>
      <c r="C37" s="105" t="s">
        <v>308</v>
      </c>
      <c r="D37" s="40" t="s">
        <v>168</v>
      </c>
      <c r="E37" s="37">
        <v>43982</v>
      </c>
      <c r="F37" s="106">
        <v>1106</v>
      </c>
      <c r="G37" s="99">
        <v>4226</v>
      </c>
      <c r="H37" s="99">
        <v>4076</v>
      </c>
      <c r="I37" s="99">
        <v>20225</v>
      </c>
      <c r="J37" s="99">
        <v>11994</v>
      </c>
      <c r="K37" s="99">
        <v>11572</v>
      </c>
      <c r="L37" s="100">
        <v>20455</v>
      </c>
      <c r="M37" s="99">
        <v>17543</v>
      </c>
      <c r="N37" s="99">
        <v>442</v>
      </c>
      <c r="O37" s="99">
        <v>11572</v>
      </c>
      <c r="P37" s="99">
        <v>3608</v>
      </c>
      <c r="Q37" s="99">
        <v>681</v>
      </c>
      <c r="R37" s="20">
        <v>20455</v>
      </c>
      <c r="S37" s="107">
        <v>20455</v>
      </c>
      <c r="T37" s="108"/>
    </row>
    <row r="38" spans="1:20" ht="16.5" customHeight="1" x14ac:dyDescent="0.25">
      <c r="A38" s="97" t="s">
        <v>343</v>
      </c>
      <c r="B38" s="105" t="s">
        <v>353</v>
      </c>
      <c r="C38" s="105" t="s">
        <v>290</v>
      </c>
      <c r="D38" s="40" t="s">
        <v>150</v>
      </c>
      <c r="E38" s="37">
        <v>34193</v>
      </c>
      <c r="F38" s="106">
        <v>983</v>
      </c>
      <c r="G38" s="99">
        <v>3241</v>
      </c>
      <c r="H38" s="99">
        <v>3167</v>
      </c>
      <c r="I38" s="99">
        <v>15684</v>
      </c>
      <c r="J38" s="99">
        <v>9644</v>
      </c>
      <c r="K38" s="99">
        <v>6757</v>
      </c>
      <c r="L38" s="100">
        <v>11250</v>
      </c>
      <c r="M38" s="99">
        <v>6197</v>
      </c>
      <c r="N38" s="99">
        <v>393</v>
      </c>
      <c r="O38" s="99">
        <v>6757</v>
      </c>
      <c r="P38" s="99">
        <v>2736</v>
      </c>
      <c r="Q38" s="99">
        <v>667</v>
      </c>
      <c r="R38" s="20">
        <v>15684</v>
      </c>
      <c r="S38" s="107">
        <v>15684</v>
      </c>
      <c r="T38" s="108"/>
    </row>
    <row r="39" spans="1:20" ht="16.5" customHeight="1" x14ac:dyDescent="0.25">
      <c r="A39" s="97" t="s">
        <v>343</v>
      </c>
      <c r="B39" s="105" t="s">
        <v>353</v>
      </c>
      <c r="C39" s="105" t="s">
        <v>263</v>
      </c>
      <c r="D39" s="40" t="s">
        <v>123</v>
      </c>
      <c r="E39" s="37">
        <v>43816</v>
      </c>
      <c r="F39" s="106">
        <v>693</v>
      </c>
      <c r="G39" s="99">
        <v>3818</v>
      </c>
      <c r="H39" s="99">
        <v>4065</v>
      </c>
      <c r="I39" s="99">
        <v>22530</v>
      </c>
      <c r="J39" s="99">
        <v>11782</v>
      </c>
      <c r="K39" s="99">
        <v>5019</v>
      </c>
      <c r="L39" s="100">
        <v>16258</v>
      </c>
      <c r="M39" s="99">
        <v>13544</v>
      </c>
      <c r="N39" s="99">
        <v>277</v>
      </c>
      <c r="O39" s="99">
        <v>5019</v>
      </c>
      <c r="P39" s="99">
        <v>3569</v>
      </c>
      <c r="Q39" s="99">
        <v>1117</v>
      </c>
      <c r="R39" s="20">
        <v>22530</v>
      </c>
      <c r="S39" s="107">
        <v>22530</v>
      </c>
      <c r="T39" s="108"/>
    </row>
    <row r="40" spans="1:20" ht="16.5" customHeight="1" x14ac:dyDescent="0.25">
      <c r="A40" s="97" t="s">
        <v>343</v>
      </c>
      <c r="B40" s="105" t="s">
        <v>353</v>
      </c>
      <c r="C40" s="105" t="s">
        <v>214</v>
      </c>
      <c r="D40" s="40" t="s">
        <v>74</v>
      </c>
      <c r="E40" s="37">
        <v>24534</v>
      </c>
      <c r="F40" s="106">
        <v>249</v>
      </c>
      <c r="G40" s="99">
        <v>2318</v>
      </c>
      <c r="H40" s="99">
        <v>2278</v>
      </c>
      <c r="I40" s="99">
        <v>12665</v>
      </c>
      <c r="J40" s="99">
        <v>6481</v>
      </c>
      <c r="K40" s="99">
        <v>2700</v>
      </c>
      <c r="L40" s="100">
        <v>18276</v>
      </c>
      <c r="M40" s="99">
        <v>2550</v>
      </c>
      <c r="N40" s="99">
        <v>100</v>
      </c>
      <c r="O40" s="99">
        <v>2700</v>
      </c>
      <c r="P40" s="99">
        <v>1965</v>
      </c>
      <c r="Q40" s="99">
        <v>715</v>
      </c>
      <c r="R40" s="20">
        <v>18276</v>
      </c>
      <c r="S40" s="107">
        <v>12665</v>
      </c>
      <c r="T40" s="108"/>
    </row>
    <row r="41" spans="1:20" ht="16.5" customHeight="1" x14ac:dyDescent="0.25">
      <c r="A41" s="97" t="s">
        <v>343</v>
      </c>
      <c r="B41" s="105" t="s">
        <v>353</v>
      </c>
      <c r="C41" s="105" t="s">
        <v>324</v>
      </c>
      <c r="D41" s="40" t="s">
        <v>184</v>
      </c>
      <c r="E41" s="37">
        <v>56607</v>
      </c>
      <c r="F41" s="106">
        <v>398</v>
      </c>
      <c r="G41" s="99">
        <v>5543</v>
      </c>
      <c r="H41" s="99">
        <v>5256</v>
      </c>
      <c r="I41" s="99">
        <v>29281</v>
      </c>
      <c r="J41" s="99">
        <v>14982</v>
      </c>
      <c r="K41" s="99">
        <v>8248</v>
      </c>
      <c r="L41" s="100">
        <v>13520</v>
      </c>
      <c r="M41" s="99">
        <v>10674</v>
      </c>
      <c r="N41" s="99">
        <v>159</v>
      </c>
      <c r="O41" s="99">
        <v>8248</v>
      </c>
      <c r="P41" s="99">
        <v>4543</v>
      </c>
      <c r="Q41" s="99">
        <v>1940</v>
      </c>
      <c r="R41" s="20">
        <v>29281</v>
      </c>
      <c r="S41" s="107">
        <v>29281</v>
      </c>
      <c r="T41" s="108"/>
    </row>
    <row r="42" spans="1:20" ht="16.5" customHeight="1" x14ac:dyDescent="0.25">
      <c r="A42" s="97" t="s">
        <v>343</v>
      </c>
      <c r="B42" s="105" t="s">
        <v>353</v>
      </c>
      <c r="C42" s="105" t="s">
        <v>252</v>
      </c>
      <c r="D42" s="40" t="s">
        <v>112</v>
      </c>
      <c r="E42" s="37">
        <v>36398</v>
      </c>
      <c r="F42" s="106">
        <v>194</v>
      </c>
      <c r="G42" s="99">
        <v>3328</v>
      </c>
      <c r="H42" s="99">
        <v>3382</v>
      </c>
      <c r="I42" s="99">
        <v>18849</v>
      </c>
      <c r="J42" s="99">
        <v>9109</v>
      </c>
      <c r="K42" s="99">
        <v>3741</v>
      </c>
      <c r="L42" s="100">
        <v>11250</v>
      </c>
      <c r="M42" s="99">
        <v>10043</v>
      </c>
      <c r="N42" s="99">
        <v>77</v>
      </c>
      <c r="O42" s="99">
        <v>3741</v>
      </c>
      <c r="P42" s="99">
        <v>2899</v>
      </c>
      <c r="Q42" s="99">
        <v>815</v>
      </c>
      <c r="R42" s="20">
        <v>18849</v>
      </c>
      <c r="S42" s="107">
        <v>18849</v>
      </c>
      <c r="T42" s="108"/>
    </row>
    <row r="43" spans="1:20" ht="16.5" customHeight="1" x14ac:dyDescent="0.25">
      <c r="A43" s="97" t="s">
        <v>343</v>
      </c>
      <c r="B43" s="105" t="s">
        <v>353</v>
      </c>
      <c r="C43" s="105" t="s">
        <v>318</v>
      </c>
      <c r="D43" s="40" t="s">
        <v>178</v>
      </c>
      <c r="E43" s="37">
        <v>29256</v>
      </c>
      <c r="F43" s="106">
        <v>327</v>
      </c>
      <c r="G43" s="99">
        <v>2941</v>
      </c>
      <c r="H43" s="99">
        <v>2715</v>
      </c>
      <c r="I43" s="99">
        <v>15091</v>
      </c>
      <c r="J43" s="99">
        <v>7628</v>
      </c>
      <c r="K43" s="99">
        <v>2539</v>
      </c>
      <c r="L43" s="100">
        <v>0</v>
      </c>
      <c r="M43" s="99">
        <v>6001</v>
      </c>
      <c r="N43" s="99">
        <v>131</v>
      </c>
      <c r="O43" s="99">
        <v>2539</v>
      </c>
      <c r="P43" s="99">
        <v>2308</v>
      </c>
      <c r="Q43" s="99">
        <v>708</v>
      </c>
      <c r="R43" s="20">
        <v>15091</v>
      </c>
      <c r="S43" s="107">
        <v>15091</v>
      </c>
      <c r="T43" s="108"/>
    </row>
    <row r="44" spans="1:20" ht="16.5" customHeight="1" x14ac:dyDescent="0.25">
      <c r="A44" s="97" t="s">
        <v>343</v>
      </c>
      <c r="B44" s="105" t="s">
        <v>353</v>
      </c>
      <c r="C44" s="105" t="s">
        <v>306</v>
      </c>
      <c r="D44" s="40" t="s">
        <v>166</v>
      </c>
      <c r="E44" s="37">
        <v>46806</v>
      </c>
      <c r="F44" s="106">
        <v>2175</v>
      </c>
      <c r="G44" s="99">
        <v>4655</v>
      </c>
      <c r="H44" s="99">
        <v>4324</v>
      </c>
      <c r="I44" s="99">
        <v>23566</v>
      </c>
      <c r="J44" s="99">
        <v>14684</v>
      </c>
      <c r="K44" s="99">
        <v>7925</v>
      </c>
      <c r="L44" s="100">
        <v>12630</v>
      </c>
      <c r="M44" s="99">
        <v>8804</v>
      </c>
      <c r="N44" s="99">
        <v>649</v>
      </c>
      <c r="O44" s="99">
        <v>7925</v>
      </c>
      <c r="P44" s="99">
        <v>0</v>
      </c>
      <c r="Q44" s="99">
        <v>1168</v>
      </c>
      <c r="R44" s="20">
        <v>23566</v>
      </c>
      <c r="S44" s="107">
        <v>23566</v>
      </c>
      <c r="T44" s="108"/>
    </row>
    <row r="45" spans="1:20" ht="16.5" customHeight="1" x14ac:dyDescent="0.25">
      <c r="A45" s="97" t="s">
        <v>343</v>
      </c>
      <c r="B45" s="105" t="s">
        <v>353</v>
      </c>
      <c r="C45" s="105" t="s">
        <v>278</v>
      </c>
      <c r="D45" s="40" t="s">
        <v>138</v>
      </c>
      <c r="E45" s="37">
        <v>11101</v>
      </c>
      <c r="F45" s="106">
        <v>78</v>
      </c>
      <c r="G45" s="99">
        <v>1124</v>
      </c>
      <c r="H45" s="99">
        <v>1031</v>
      </c>
      <c r="I45" s="99">
        <v>5742</v>
      </c>
      <c r="J45" s="99">
        <v>2633</v>
      </c>
      <c r="K45" s="99">
        <v>2365</v>
      </c>
      <c r="L45" s="100">
        <v>0</v>
      </c>
      <c r="M45" s="99">
        <v>1546</v>
      </c>
      <c r="N45" s="99">
        <v>31</v>
      </c>
      <c r="O45" s="99">
        <v>1373</v>
      </c>
      <c r="P45" s="99">
        <v>2365</v>
      </c>
      <c r="Q45" s="99">
        <v>75</v>
      </c>
      <c r="R45" s="20">
        <v>5742</v>
      </c>
      <c r="S45" s="107">
        <v>5742</v>
      </c>
      <c r="T45" s="108"/>
    </row>
    <row r="46" spans="1:20" ht="16.5" customHeight="1" x14ac:dyDescent="0.25">
      <c r="A46" s="97" t="s">
        <v>343</v>
      </c>
      <c r="B46" s="105" t="s">
        <v>353</v>
      </c>
      <c r="C46" s="105" t="s">
        <v>225</v>
      </c>
      <c r="D46" s="40" t="s">
        <v>85</v>
      </c>
      <c r="E46" s="37">
        <v>70765</v>
      </c>
      <c r="F46" s="106">
        <v>933</v>
      </c>
      <c r="G46" s="99">
        <v>7248</v>
      </c>
      <c r="H46" s="99">
        <v>6567</v>
      </c>
      <c r="I46" s="99">
        <v>32807</v>
      </c>
      <c r="J46" s="99">
        <v>18204</v>
      </c>
      <c r="K46" s="99">
        <v>15209</v>
      </c>
      <c r="L46" s="100">
        <v>26304</v>
      </c>
      <c r="M46" s="99">
        <v>10876</v>
      </c>
      <c r="N46" s="99">
        <v>373</v>
      </c>
      <c r="O46" s="99">
        <v>5374</v>
      </c>
      <c r="P46" s="99">
        <v>15209</v>
      </c>
      <c r="Q46" s="99">
        <v>1255</v>
      </c>
      <c r="R46" s="20">
        <v>32807</v>
      </c>
      <c r="S46" s="107">
        <v>32807</v>
      </c>
      <c r="T46" s="108"/>
    </row>
    <row r="47" spans="1:20" ht="16.5" customHeight="1" x14ac:dyDescent="0.25">
      <c r="A47" s="97" t="s">
        <v>343</v>
      </c>
      <c r="B47" s="105" t="s">
        <v>353</v>
      </c>
      <c r="C47" s="105" t="s">
        <v>315</v>
      </c>
      <c r="D47" s="40" t="s">
        <v>175</v>
      </c>
      <c r="E47" s="37">
        <v>52745</v>
      </c>
      <c r="F47" s="106">
        <v>695</v>
      </c>
      <c r="G47" s="99">
        <v>5070</v>
      </c>
      <c r="H47" s="99">
        <v>4894</v>
      </c>
      <c r="I47" s="99">
        <v>24452</v>
      </c>
      <c r="J47" s="99">
        <v>14687</v>
      </c>
      <c r="K47" s="99">
        <v>4805</v>
      </c>
      <c r="L47" s="100">
        <v>0</v>
      </c>
      <c r="M47" s="99">
        <v>11491</v>
      </c>
      <c r="N47" s="99">
        <v>278</v>
      </c>
      <c r="O47" s="99">
        <v>4805</v>
      </c>
      <c r="P47" s="99">
        <v>4267</v>
      </c>
      <c r="Q47" s="99">
        <v>2055</v>
      </c>
      <c r="R47" s="20">
        <v>24452</v>
      </c>
      <c r="S47" s="107">
        <v>24452</v>
      </c>
      <c r="T47" s="108"/>
    </row>
    <row r="48" spans="1:20" ht="16.5" customHeight="1" x14ac:dyDescent="0.25">
      <c r="A48" s="97" t="s">
        <v>343</v>
      </c>
      <c r="B48" s="105" t="s">
        <v>353</v>
      </c>
      <c r="C48" s="105" t="s">
        <v>284</v>
      </c>
      <c r="D48" s="40" t="s">
        <v>144</v>
      </c>
      <c r="E48" s="37">
        <v>90050</v>
      </c>
      <c r="F48" s="106">
        <v>963</v>
      </c>
      <c r="G48" s="99">
        <v>8078</v>
      </c>
      <c r="H48" s="99">
        <v>8360</v>
      </c>
      <c r="I48" s="99">
        <v>41818</v>
      </c>
      <c r="J48" s="99">
        <v>23856</v>
      </c>
      <c r="K48" s="99">
        <v>7661</v>
      </c>
      <c r="L48" s="100">
        <v>26822</v>
      </c>
      <c r="M48" s="99">
        <v>14406</v>
      </c>
      <c r="N48" s="99">
        <v>385</v>
      </c>
      <c r="O48" s="99">
        <v>7661</v>
      </c>
      <c r="P48" s="99">
        <v>7286</v>
      </c>
      <c r="Q48" s="99">
        <v>2619</v>
      </c>
      <c r="R48" s="20">
        <v>41818</v>
      </c>
      <c r="S48" s="107">
        <v>41818</v>
      </c>
      <c r="T48" s="108"/>
    </row>
    <row r="49" spans="1:20" ht="16.5" customHeight="1" x14ac:dyDescent="0.25">
      <c r="A49" s="97" t="s">
        <v>343</v>
      </c>
      <c r="B49" s="105" t="s">
        <v>353</v>
      </c>
      <c r="C49" s="105" t="s">
        <v>218</v>
      </c>
      <c r="D49" s="40" t="s">
        <v>78</v>
      </c>
      <c r="E49" s="37">
        <v>22052</v>
      </c>
      <c r="F49" s="106">
        <v>219</v>
      </c>
      <c r="G49" s="99">
        <v>2182</v>
      </c>
      <c r="H49" s="99">
        <v>2048</v>
      </c>
      <c r="I49" s="99">
        <v>10245</v>
      </c>
      <c r="J49" s="99">
        <v>5401</v>
      </c>
      <c r="K49" s="99">
        <v>4441</v>
      </c>
      <c r="L49" s="100">
        <v>6846</v>
      </c>
      <c r="M49" s="99">
        <v>4186</v>
      </c>
      <c r="N49" s="99">
        <v>88</v>
      </c>
      <c r="O49" s="99">
        <v>4441</v>
      </c>
      <c r="P49" s="99">
        <v>1801</v>
      </c>
      <c r="Q49" s="99">
        <v>226</v>
      </c>
      <c r="R49" s="20">
        <v>10245</v>
      </c>
      <c r="S49" s="107">
        <v>10245</v>
      </c>
      <c r="T49" s="108"/>
    </row>
    <row r="50" spans="1:20" ht="16.5" customHeight="1" x14ac:dyDescent="0.25">
      <c r="A50" s="97" t="s">
        <v>343</v>
      </c>
      <c r="B50" s="105" t="s">
        <v>353</v>
      </c>
      <c r="C50" s="105" t="s">
        <v>309</v>
      </c>
      <c r="D50" s="40" t="s">
        <v>169</v>
      </c>
      <c r="E50" s="37">
        <v>76929</v>
      </c>
      <c r="F50" s="106">
        <v>5939</v>
      </c>
      <c r="G50" s="99">
        <v>7676</v>
      </c>
      <c r="H50" s="99">
        <v>7080</v>
      </c>
      <c r="I50" s="99">
        <v>34112</v>
      </c>
      <c r="J50" s="99">
        <v>28788</v>
      </c>
      <c r="K50" s="99">
        <v>6299</v>
      </c>
      <c r="L50" s="100">
        <v>25540</v>
      </c>
      <c r="M50" s="99">
        <v>25778</v>
      </c>
      <c r="N50" s="99">
        <v>1684</v>
      </c>
      <c r="O50" s="99">
        <v>5502</v>
      </c>
      <c r="P50" s="99">
        <v>6299</v>
      </c>
      <c r="Q50" s="99">
        <v>3074</v>
      </c>
      <c r="R50" s="20">
        <v>34112</v>
      </c>
      <c r="S50" s="107">
        <v>34112</v>
      </c>
      <c r="T50" s="108"/>
    </row>
    <row r="51" spans="1:20" ht="16.5" customHeight="1" x14ac:dyDescent="0.25">
      <c r="A51" s="97" t="s">
        <v>343</v>
      </c>
      <c r="B51" s="105" t="s">
        <v>353</v>
      </c>
      <c r="C51" s="105" t="s">
        <v>307</v>
      </c>
      <c r="D51" s="40" t="s">
        <v>167</v>
      </c>
      <c r="E51" s="37">
        <v>60535</v>
      </c>
      <c r="F51" s="106">
        <v>5778</v>
      </c>
      <c r="G51" s="99">
        <v>6294</v>
      </c>
      <c r="H51" s="99">
        <v>5557</v>
      </c>
      <c r="I51" s="99">
        <v>26497</v>
      </c>
      <c r="J51" s="99">
        <v>21869</v>
      </c>
      <c r="K51" s="99">
        <v>5733</v>
      </c>
      <c r="L51" s="100">
        <v>39314</v>
      </c>
      <c r="M51" s="99">
        <v>16822</v>
      </c>
      <c r="N51" s="99">
        <v>451</v>
      </c>
      <c r="O51" s="99">
        <v>5733</v>
      </c>
      <c r="P51" s="99">
        <v>5031</v>
      </c>
      <c r="Q51" s="99">
        <v>0</v>
      </c>
      <c r="R51" s="20">
        <v>39314</v>
      </c>
      <c r="S51" s="107">
        <v>26497</v>
      </c>
      <c r="T51" s="108"/>
    </row>
    <row r="52" spans="1:20" ht="16.5" customHeight="1" x14ac:dyDescent="0.25">
      <c r="A52" s="97" t="s">
        <v>351</v>
      </c>
      <c r="B52" s="105" t="s">
        <v>361</v>
      </c>
      <c r="C52" s="105" t="s">
        <v>257</v>
      </c>
      <c r="D52" s="40" t="s">
        <v>117</v>
      </c>
      <c r="E52" s="37">
        <v>40129</v>
      </c>
      <c r="F52" s="106">
        <v>281</v>
      </c>
      <c r="G52" s="99">
        <v>3734</v>
      </c>
      <c r="H52" s="99">
        <v>3575</v>
      </c>
      <c r="I52" s="99">
        <v>14418</v>
      </c>
      <c r="J52" s="99">
        <v>9757</v>
      </c>
      <c r="K52" s="99">
        <v>5817</v>
      </c>
      <c r="L52" s="100">
        <v>11319</v>
      </c>
      <c r="M52" s="99">
        <v>3740</v>
      </c>
      <c r="N52" s="99">
        <v>80</v>
      </c>
      <c r="O52" s="99">
        <v>5817</v>
      </c>
      <c r="P52" s="99">
        <v>3235</v>
      </c>
      <c r="Q52" s="99">
        <v>513</v>
      </c>
      <c r="R52" s="20">
        <v>14418</v>
      </c>
      <c r="S52" s="107">
        <v>14418</v>
      </c>
      <c r="T52" s="108"/>
    </row>
    <row r="53" spans="1:20" ht="16.5" customHeight="1" x14ac:dyDescent="0.25">
      <c r="A53" s="97" t="s">
        <v>351</v>
      </c>
      <c r="B53" s="105" t="s">
        <v>361</v>
      </c>
      <c r="C53" s="105" t="s">
        <v>254</v>
      </c>
      <c r="D53" s="40" t="s">
        <v>114</v>
      </c>
      <c r="E53" s="37">
        <v>17054</v>
      </c>
      <c r="F53" s="106">
        <v>105</v>
      </c>
      <c r="G53" s="99">
        <v>1723</v>
      </c>
      <c r="H53" s="99">
        <v>1373</v>
      </c>
      <c r="I53" s="99">
        <v>8454</v>
      </c>
      <c r="J53" s="99">
        <v>3983</v>
      </c>
      <c r="K53" s="99">
        <v>1763</v>
      </c>
      <c r="L53" s="100">
        <v>4250</v>
      </c>
      <c r="M53" s="99">
        <v>5464</v>
      </c>
      <c r="N53" s="99">
        <v>42</v>
      </c>
      <c r="O53" s="99">
        <v>1763</v>
      </c>
      <c r="P53" s="99">
        <v>1334</v>
      </c>
      <c r="Q53" s="99">
        <v>75</v>
      </c>
      <c r="R53" s="20">
        <v>8454</v>
      </c>
      <c r="S53" s="107">
        <v>8454</v>
      </c>
      <c r="T53" s="108"/>
    </row>
    <row r="54" spans="1:20" ht="16.5" customHeight="1" x14ac:dyDescent="0.25">
      <c r="A54" s="97" t="s">
        <v>351</v>
      </c>
      <c r="B54" s="105" t="s">
        <v>361</v>
      </c>
      <c r="C54" s="105" t="s">
        <v>299</v>
      </c>
      <c r="D54" s="40" t="s">
        <v>159</v>
      </c>
      <c r="E54" s="37">
        <v>13700</v>
      </c>
      <c r="F54" s="106">
        <v>441</v>
      </c>
      <c r="G54" s="99">
        <v>1284</v>
      </c>
      <c r="H54" s="99">
        <v>1095</v>
      </c>
      <c r="I54" s="99">
        <v>6295</v>
      </c>
      <c r="J54" s="99">
        <v>3749</v>
      </c>
      <c r="K54" s="99">
        <v>1150</v>
      </c>
      <c r="L54" s="100">
        <v>10055</v>
      </c>
      <c r="M54" s="99">
        <v>1829</v>
      </c>
      <c r="N54" s="99">
        <v>176</v>
      </c>
      <c r="O54" s="99">
        <v>1150</v>
      </c>
      <c r="P54" s="99">
        <v>1080</v>
      </c>
      <c r="Q54" s="99">
        <v>83</v>
      </c>
      <c r="R54" s="20">
        <v>10055</v>
      </c>
      <c r="S54" s="107">
        <v>6295</v>
      </c>
      <c r="T54" s="108"/>
    </row>
    <row r="55" spans="1:20" ht="16.5" customHeight="1" x14ac:dyDescent="0.25">
      <c r="A55" s="97" t="s">
        <v>351</v>
      </c>
      <c r="B55" s="105" t="s">
        <v>361</v>
      </c>
      <c r="C55" s="105" t="s">
        <v>297</v>
      </c>
      <c r="D55" s="40" t="s">
        <v>157</v>
      </c>
      <c r="E55" s="37">
        <v>123320</v>
      </c>
      <c r="F55" s="106">
        <v>333</v>
      </c>
      <c r="G55" s="99">
        <v>11831</v>
      </c>
      <c r="H55" s="99">
        <v>12903</v>
      </c>
      <c r="I55" s="99">
        <v>45450</v>
      </c>
      <c r="J55" s="99">
        <v>31212</v>
      </c>
      <c r="K55" s="99">
        <v>22959</v>
      </c>
      <c r="L55" s="100">
        <v>43559</v>
      </c>
      <c r="M55" s="99">
        <v>19835</v>
      </c>
      <c r="N55" s="99">
        <v>129</v>
      </c>
      <c r="O55" s="99">
        <v>22959</v>
      </c>
      <c r="P55" s="99">
        <v>9936</v>
      </c>
      <c r="Q55" s="99">
        <v>3589</v>
      </c>
      <c r="R55" s="20">
        <v>45450</v>
      </c>
      <c r="S55" s="107">
        <v>45450</v>
      </c>
      <c r="T55" s="108"/>
    </row>
    <row r="56" spans="1:20" ht="16.5" customHeight="1" x14ac:dyDescent="0.25">
      <c r="A56" s="97" t="s">
        <v>351</v>
      </c>
      <c r="B56" s="105" t="s">
        <v>361</v>
      </c>
      <c r="C56" s="105" t="s">
        <v>230</v>
      </c>
      <c r="D56" s="40" t="s">
        <v>90</v>
      </c>
      <c r="E56" s="37">
        <v>22559</v>
      </c>
      <c r="F56" s="106">
        <v>119</v>
      </c>
      <c r="G56" s="99">
        <v>2123</v>
      </c>
      <c r="H56" s="99">
        <v>1952</v>
      </c>
      <c r="I56" s="99">
        <v>10980</v>
      </c>
      <c r="J56" s="99">
        <v>5519</v>
      </c>
      <c r="K56" s="99">
        <v>3758</v>
      </c>
      <c r="L56" s="100">
        <v>0</v>
      </c>
      <c r="M56" s="99">
        <v>2554</v>
      </c>
      <c r="N56" s="99">
        <v>47</v>
      </c>
      <c r="O56" s="99">
        <v>3758</v>
      </c>
      <c r="P56" s="99">
        <v>1764</v>
      </c>
      <c r="Q56" s="99">
        <v>381</v>
      </c>
      <c r="R56" s="20">
        <v>10980</v>
      </c>
      <c r="S56" s="107">
        <v>10980</v>
      </c>
      <c r="T56" s="108"/>
    </row>
    <row r="57" spans="1:20" ht="16.5" customHeight="1" x14ac:dyDescent="0.25">
      <c r="A57" s="97" t="s">
        <v>351</v>
      </c>
      <c r="B57" s="105" t="s">
        <v>361</v>
      </c>
      <c r="C57" s="105" t="s">
        <v>295</v>
      </c>
      <c r="D57" s="40" t="s">
        <v>155</v>
      </c>
      <c r="E57" s="37">
        <v>24682</v>
      </c>
      <c r="F57" s="106">
        <v>527</v>
      </c>
      <c r="G57" s="99">
        <v>2591</v>
      </c>
      <c r="H57" s="99">
        <v>2127</v>
      </c>
      <c r="I57" s="99">
        <v>11424</v>
      </c>
      <c r="J57" s="99">
        <v>6669</v>
      </c>
      <c r="K57" s="99">
        <v>2702</v>
      </c>
      <c r="L57" s="100">
        <v>6710</v>
      </c>
      <c r="M57" s="99">
        <v>3659</v>
      </c>
      <c r="N57" s="99">
        <v>211</v>
      </c>
      <c r="O57" s="99">
        <v>2702</v>
      </c>
      <c r="P57" s="99">
        <v>1973</v>
      </c>
      <c r="Q57" s="99">
        <v>460</v>
      </c>
      <c r="R57" s="20">
        <v>11424</v>
      </c>
      <c r="S57" s="107">
        <v>11424</v>
      </c>
      <c r="T57" s="108"/>
    </row>
    <row r="58" spans="1:20" ht="16.5" customHeight="1" x14ac:dyDescent="0.25">
      <c r="A58" s="97" t="s">
        <v>351</v>
      </c>
      <c r="B58" s="105" t="s">
        <v>361</v>
      </c>
      <c r="C58" s="105" t="s">
        <v>339</v>
      </c>
      <c r="D58" s="40" t="s">
        <v>199</v>
      </c>
      <c r="E58" s="37">
        <v>57212</v>
      </c>
      <c r="F58" s="106">
        <v>680</v>
      </c>
      <c r="G58" s="99">
        <v>5481</v>
      </c>
      <c r="H58" s="99">
        <v>4889</v>
      </c>
      <c r="I58" s="99">
        <v>26653</v>
      </c>
      <c r="J58" s="99">
        <v>14929</v>
      </c>
      <c r="K58" s="99">
        <v>6841</v>
      </c>
      <c r="L58" s="100">
        <v>21622</v>
      </c>
      <c r="M58" s="99">
        <v>29130</v>
      </c>
      <c r="N58" s="99">
        <v>272</v>
      </c>
      <c r="O58" s="99">
        <v>6841</v>
      </c>
      <c r="P58" s="99">
        <v>4671</v>
      </c>
      <c r="Q58" s="99">
        <v>1336</v>
      </c>
      <c r="R58" s="20">
        <v>29130</v>
      </c>
      <c r="S58" s="107">
        <v>29130</v>
      </c>
      <c r="T58" s="108"/>
    </row>
    <row r="59" spans="1:20" ht="16.5" customHeight="1" x14ac:dyDescent="0.25">
      <c r="A59" s="97" t="s">
        <v>351</v>
      </c>
      <c r="B59" s="105" t="s">
        <v>361</v>
      </c>
      <c r="C59" s="105" t="s">
        <v>327</v>
      </c>
      <c r="D59" s="40" t="s">
        <v>187</v>
      </c>
      <c r="E59" s="37">
        <v>32812</v>
      </c>
      <c r="F59" s="106">
        <v>447</v>
      </c>
      <c r="G59" s="99">
        <v>3181</v>
      </c>
      <c r="H59" s="99">
        <v>2645</v>
      </c>
      <c r="I59" s="99">
        <v>15269</v>
      </c>
      <c r="J59" s="99">
        <v>8361</v>
      </c>
      <c r="K59" s="99">
        <v>2570</v>
      </c>
      <c r="L59" s="100">
        <v>10210</v>
      </c>
      <c r="M59" s="99">
        <v>6630</v>
      </c>
      <c r="N59" s="99">
        <v>179</v>
      </c>
      <c r="O59" s="99">
        <v>2286</v>
      </c>
      <c r="P59" s="99">
        <v>2570</v>
      </c>
      <c r="Q59" s="99">
        <v>481</v>
      </c>
      <c r="R59" s="20">
        <v>15269</v>
      </c>
      <c r="S59" s="107">
        <v>15269</v>
      </c>
      <c r="T59" s="108"/>
    </row>
    <row r="60" spans="1:20" ht="16.5" customHeight="1" x14ac:dyDescent="0.25">
      <c r="A60" s="97" t="s">
        <v>351</v>
      </c>
      <c r="B60" s="105" t="s">
        <v>361</v>
      </c>
      <c r="C60" s="105" t="s">
        <v>332</v>
      </c>
      <c r="D60" s="40" t="s">
        <v>192</v>
      </c>
      <c r="E60" s="37">
        <v>35373</v>
      </c>
      <c r="F60" s="106">
        <v>300</v>
      </c>
      <c r="G60" s="99">
        <v>3374</v>
      </c>
      <c r="H60" s="99">
        <v>3013</v>
      </c>
      <c r="I60" s="99">
        <v>16518</v>
      </c>
      <c r="J60" s="99">
        <v>8564</v>
      </c>
      <c r="K60" s="99">
        <v>3616</v>
      </c>
      <c r="L60" s="100">
        <v>12540</v>
      </c>
      <c r="M60" s="99">
        <v>3476</v>
      </c>
      <c r="N60" s="99">
        <v>120</v>
      </c>
      <c r="O60" s="99">
        <v>3616</v>
      </c>
      <c r="P60" s="99">
        <v>2810</v>
      </c>
      <c r="Q60" s="99">
        <v>337</v>
      </c>
      <c r="R60" s="20">
        <v>16518</v>
      </c>
      <c r="S60" s="107">
        <v>16518</v>
      </c>
      <c r="T60" s="108"/>
    </row>
    <row r="61" spans="1:20" ht="16.5" customHeight="1" x14ac:dyDescent="0.25">
      <c r="A61" s="97" t="s">
        <v>351</v>
      </c>
      <c r="B61" s="105" t="s">
        <v>361</v>
      </c>
      <c r="C61" s="105" t="s">
        <v>231</v>
      </c>
      <c r="D61" s="40" t="s">
        <v>91</v>
      </c>
      <c r="E61" s="37">
        <v>9005</v>
      </c>
      <c r="F61" s="106">
        <v>83</v>
      </c>
      <c r="G61" s="99">
        <v>833</v>
      </c>
      <c r="H61" s="99">
        <v>1027</v>
      </c>
      <c r="I61" s="99">
        <v>4454</v>
      </c>
      <c r="J61" s="99">
        <v>2193</v>
      </c>
      <c r="K61" s="99">
        <v>2869</v>
      </c>
      <c r="L61" s="100">
        <v>3402</v>
      </c>
      <c r="M61" s="99">
        <v>1396</v>
      </c>
      <c r="N61" s="99">
        <v>33</v>
      </c>
      <c r="O61" s="99">
        <v>2869</v>
      </c>
      <c r="P61" s="99">
        <v>689</v>
      </c>
      <c r="Q61" s="99">
        <v>90</v>
      </c>
      <c r="R61" s="20">
        <v>4454</v>
      </c>
      <c r="S61" s="107">
        <v>4454</v>
      </c>
      <c r="T61" s="108"/>
    </row>
    <row r="62" spans="1:20" ht="16.5" customHeight="1" x14ac:dyDescent="0.25">
      <c r="A62" s="97" t="s">
        <v>351</v>
      </c>
      <c r="B62" s="105" t="s">
        <v>361</v>
      </c>
      <c r="C62" s="105" t="s">
        <v>340</v>
      </c>
      <c r="D62" s="40" t="s">
        <v>200</v>
      </c>
      <c r="E62" s="37">
        <v>27514</v>
      </c>
      <c r="F62" s="106">
        <v>318</v>
      </c>
      <c r="G62" s="99">
        <v>2558</v>
      </c>
      <c r="H62" s="99">
        <v>2076</v>
      </c>
      <c r="I62" s="99">
        <v>45468</v>
      </c>
      <c r="J62" s="99">
        <v>6840</v>
      </c>
      <c r="K62" s="99">
        <v>2133</v>
      </c>
      <c r="L62" s="100">
        <v>12500</v>
      </c>
      <c r="M62" s="99">
        <v>5311</v>
      </c>
      <c r="N62" s="99">
        <v>127</v>
      </c>
      <c r="O62" s="99">
        <v>1489</v>
      </c>
      <c r="P62" s="99">
        <v>2133</v>
      </c>
      <c r="Q62" s="99">
        <v>316</v>
      </c>
      <c r="R62" s="20">
        <v>45468</v>
      </c>
      <c r="S62" s="107">
        <v>12500</v>
      </c>
      <c r="T62" s="108"/>
    </row>
    <row r="63" spans="1:20" ht="16.5" customHeight="1" x14ac:dyDescent="0.25">
      <c r="A63" s="97" t="s">
        <v>351</v>
      </c>
      <c r="B63" s="105" t="s">
        <v>361</v>
      </c>
      <c r="C63" s="105" t="s">
        <v>232</v>
      </c>
      <c r="D63" s="40" t="s">
        <v>92</v>
      </c>
      <c r="E63" s="37">
        <v>15825</v>
      </c>
      <c r="F63" s="106">
        <v>50</v>
      </c>
      <c r="G63" s="99">
        <v>1755</v>
      </c>
      <c r="H63" s="99">
        <v>1577</v>
      </c>
      <c r="I63" s="99">
        <v>7861</v>
      </c>
      <c r="J63" s="99">
        <v>4097</v>
      </c>
      <c r="K63" s="99">
        <v>2439</v>
      </c>
      <c r="L63" s="100">
        <v>6000</v>
      </c>
      <c r="M63" s="99">
        <v>1102</v>
      </c>
      <c r="N63" s="99">
        <v>20</v>
      </c>
      <c r="O63" s="99">
        <v>2439</v>
      </c>
      <c r="P63" s="99">
        <v>1262</v>
      </c>
      <c r="Q63" s="99">
        <v>542</v>
      </c>
      <c r="R63" s="20">
        <v>7861</v>
      </c>
      <c r="S63" s="107">
        <v>7861</v>
      </c>
      <c r="T63" s="108"/>
    </row>
    <row r="64" spans="1:20" ht="16.5" customHeight="1" x14ac:dyDescent="0.25">
      <c r="A64" s="97" t="s">
        <v>351</v>
      </c>
      <c r="B64" s="105" t="s">
        <v>361</v>
      </c>
      <c r="C64" s="105" t="s">
        <v>294</v>
      </c>
      <c r="D64" s="40" t="s">
        <v>154</v>
      </c>
      <c r="E64" s="37">
        <v>40343</v>
      </c>
      <c r="F64" s="106">
        <v>138</v>
      </c>
      <c r="G64" s="99">
        <v>4040</v>
      </c>
      <c r="H64" s="99">
        <v>3298</v>
      </c>
      <c r="I64" s="99">
        <v>18901</v>
      </c>
      <c r="J64" s="99">
        <v>9461</v>
      </c>
      <c r="K64" s="99">
        <v>3658</v>
      </c>
      <c r="L64" s="100">
        <v>13000</v>
      </c>
      <c r="M64" s="99">
        <v>5952</v>
      </c>
      <c r="N64" s="99">
        <v>55</v>
      </c>
      <c r="O64" s="99">
        <v>3658</v>
      </c>
      <c r="P64" s="99">
        <v>3242</v>
      </c>
      <c r="Q64" s="99">
        <v>381</v>
      </c>
      <c r="R64" s="20">
        <v>18901</v>
      </c>
      <c r="S64" s="107">
        <v>18901</v>
      </c>
      <c r="T64" s="108"/>
    </row>
    <row r="65" spans="1:20" ht="16.5" customHeight="1" x14ac:dyDescent="0.25">
      <c r="A65" s="97" t="s">
        <v>348</v>
      </c>
      <c r="B65" s="105" t="s">
        <v>358</v>
      </c>
      <c r="C65" s="105" t="s">
        <v>259</v>
      </c>
      <c r="D65" s="40" t="s">
        <v>119</v>
      </c>
      <c r="E65" s="37">
        <v>366051</v>
      </c>
      <c r="F65" s="106">
        <v>7451</v>
      </c>
      <c r="G65" s="99">
        <v>41759</v>
      </c>
      <c r="H65" s="99">
        <v>34324</v>
      </c>
      <c r="I65" s="99">
        <v>193381</v>
      </c>
      <c r="J65" s="99">
        <v>98062</v>
      </c>
      <c r="K65" s="99">
        <v>79954</v>
      </c>
      <c r="L65" s="100">
        <v>109244</v>
      </c>
      <c r="M65" s="99">
        <v>52626</v>
      </c>
      <c r="N65" s="99">
        <v>2816</v>
      </c>
      <c r="O65" s="99">
        <v>42343</v>
      </c>
      <c r="P65" s="99">
        <v>79954</v>
      </c>
      <c r="Q65" s="99">
        <v>13825</v>
      </c>
      <c r="R65" s="20">
        <v>193381</v>
      </c>
      <c r="S65" s="107">
        <v>193381</v>
      </c>
      <c r="T65" s="108"/>
    </row>
    <row r="66" spans="1:20" ht="16.5" customHeight="1" x14ac:dyDescent="0.25">
      <c r="A66" s="97" t="s">
        <v>348</v>
      </c>
      <c r="B66" s="105" t="s">
        <v>358</v>
      </c>
      <c r="C66" s="105" t="s">
        <v>253</v>
      </c>
      <c r="D66" s="40" t="s">
        <v>113</v>
      </c>
      <c r="E66" s="37">
        <v>52529</v>
      </c>
      <c r="F66" s="106">
        <v>1122</v>
      </c>
      <c r="G66" s="99">
        <v>6008</v>
      </c>
      <c r="H66" s="99">
        <v>4541</v>
      </c>
      <c r="I66" s="99">
        <v>27900</v>
      </c>
      <c r="J66" s="99">
        <v>13693</v>
      </c>
      <c r="K66" s="99">
        <v>4530</v>
      </c>
      <c r="L66" s="100">
        <v>20000</v>
      </c>
      <c r="M66" s="99">
        <v>12413</v>
      </c>
      <c r="N66" s="99">
        <v>430</v>
      </c>
      <c r="O66" s="99">
        <v>4530</v>
      </c>
      <c r="P66" s="99">
        <v>4246</v>
      </c>
      <c r="Q66" s="99">
        <v>1527</v>
      </c>
      <c r="R66" s="20">
        <v>27900</v>
      </c>
      <c r="S66" s="107">
        <v>27900</v>
      </c>
      <c r="T66" s="108"/>
    </row>
    <row r="67" spans="1:20" ht="16.5" customHeight="1" x14ac:dyDescent="0.25">
      <c r="A67" s="97" t="s">
        <v>348</v>
      </c>
      <c r="B67" s="105" t="s">
        <v>358</v>
      </c>
      <c r="C67" s="105" t="s">
        <v>274</v>
      </c>
      <c r="D67" s="40" t="s">
        <v>134</v>
      </c>
      <c r="E67" s="37">
        <v>44802</v>
      </c>
      <c r="F67" s="106">
        <v>180</v>
      </c>
      <c r="G67" s="99">
        <v>4933</v>
      </c>
      <c r="H67" s="99">
        <v>4067</v>
      </c>
      <c r="I67" s="99">
        <v>22139</v>
      </c>
      <c r="J67" s="99">
        <v>11227</v>
      </c>
      <c r="K67" s="99">
        <v>4636</v>
      </c>
      <c r="L67" s="100">
        <v>0</v>
      </c>
      <c r="M67" s="99">
        <v>6069</v>
      </c>
      <c r="N67" s="99">
        <v>108</v>
      </c>
      <c r="O67" s="99">
        <v>4636</v>
      </c>
      <c r="P67" s="99">
        <v>3651</v>
      </c>
      <c r="Q67" s="99">
        <v>1750</v>
      </c>
      <c r="R67" s="20">
        <v>22139</v>
      </c>
      <c r="S67" s="107">
        <v>22139</v>
      </c>
      <c r="T67" s="108"/>
    </row>
    <row r="68" spans="1:20" ht="16.5" customHeight="1" x14ac:dyDescent="0.25">
      <c r="A68" s="97" t="s">
        <v>348</v>
      </c>
      <c r="B68" s="105" t="s">
        <v>358</v>
      </c>
      <c r="C68" s="105" t="s">
        <v>266</v>
      </c>
      <c r="D68" s="40" t="s">
        <v>126</v>
      </c>
      <c r="E68" s="37">
        <v>162808</v>
      </c>
      <c r="F68" s="106">
        <v>7124</v>
      </c>
      <c r="G68" s="99">
        <v>20073</v>
      </c>
      <c r="H68" s="99">
        <v>14436</v>
      </c>
      <c r="I68" s="99">
        <v>82617</v>
      </c>
      <c r="J68" s="99">
        <v>46114</v>
      </c>
      <c r="K68" s="99">
        <v>16871</v>
      </c>
      <c r="L68" s="100">
        <v>83250</v>
      </c>
      <c r="M68" s="99">
        <v>34537</v>
      </c>
      <c r="N68" s="99">
        <v>3098</v>
      </c>
      <c r="O68" s="99">
        <v>16871</v>
      </c>
      <c r="P68" s="99">
        <v>13286</v>
      </c>
      <c r="Q68" s="99">
        <v>3009</v>
      </c>
      <c r="R68" s="20">
        <v>83250</v>
      </c>
      <c r="S68" s="107">
        <v>83250</v>
      </c>
      <c r="T68" s="108"/>
    </row>
    <row r="69" spans="1:20" ht="16.5" customHeight="1" x14ac:dyDescent="0.25">
      <c r="A69" s="97" t="s">
        <v>348</v>
      </c>
      <c r="B69" s="105" t="s">
        <v>358</v>
      </c>
      <c r="C69" s="105" t="s">
        <v>331</v>
      </c>
      <c r="D69" s="40" t="s">
        <v>191</v>
      </c>
      <c r="E69" s="37">
        <v>32784</v>
      </c>
      <c r="F69" s="106">
        <v>3798</v>
      </c>
      <c r="G69" s="99">
        <v>4058</v>
      </c>
      <c r="H69" s="99">
        <v>2750</v>
      </c>
      <c r="I69" s="99">
        <v>15321</v>
      </c>
      <c r="J69" s="99">
        <v>13444</v>
      </c>
      <c r="K69" s="99">
        <v>2656</v>
      </c>
      <c r="L69" s="100">
        <v>8551</v>
      </c>
      <c r="M69" s="99">
        <v>14189</v>
      </c>
      <c r="N69" s="99">
        <v>1820</v>
      </c>
      <c r="O69" s="99">
        <v>2307</v>
      </c>
      <c r="P69" s="99">
        <v>2656</v>
      </c>
      <c r="Q69" s="99">
        <v>697</v>
      </c>
      <c r="R69" s="20">
        <v>15321</v>
      </c>
      <c r="S69" s="107">
        <v>15321</v>
      </c>
      <c r="T69" s="108"/>
    </row>
    <row r="70" spans="1:20" ht="16.5" customHeight="1" x14ac:dyDescent="0.25">
      <c r="A70" s="97" t="s">
        <v>348</v>
      </c>
      <c r="B70" s="105" t="s">
        <v>358</v>
      </c>
      <c r="C70" s="105" t="s">
        <v>209</v>
      </c>
      <c r="D70" s="40" t="s">
        <v>69</v>
      </c>
      <c r="E70" s="37">
        <v>47668</v>
      </c>
      <c r="F70" s="106">
        <v>5334</v>
      </c>
      <c r="G70" s="99">
        <v>5906</v>
      </c>
      <c r="H70" s="99">
        <v>4681</v>
      </c>
      <c r="I70" s="99">
        <v>21274</v>
      </c>
      <c r="J70" s="99">
        <v>18046</v>
      </c>
      <c r="K70" s="99">
        <v>7758</v>
      </c>
      <c r="L70" s="100">
        <v>19000</v>
      </c>
      <c r="M70" s="99">
        <v>23849</v>
      </c>
      <c r="N70" s="99">
        <v>2134</v>
      </c>
      <c r="O70" s="99">
        <v>7758</v>
      </c>
      <c r="P70" s="99">
        <v>3893</v>
      </c>
      <c r="Q70" s="99">
        <v>618</v>
      </c>
      <c r="R70" s="20">
        <v>23849</v>
      </c>
      <c r="S70" s="107">
        <v>23849</v>
      </c>
      <c r="T70" s="108"/>
    </row>
    <row r="71" spans="1:20" ht="16.5" customHeight="1" x14ac:dyDescent="0.25">
      <c r="A71" s="97" t="s">
        <v>348</v>
      </c>
      <c r="B71" s="105" t="s">
        <v>358</v>
      </c>
      <c r="C71" s="105" t="s">
        <v>322</v>
      </c>
      <c r="D71" s="40" t="s">
        <v>182</v>
      </c>
      <c r="E71" s="37">
        <v>281577</v>
      </c>
      <c r="F71" s="106">
        <v>15993</v>
      </c>
      <c r="G71" s="99">
        <v>31716</v>
      </c>
      <c r="H71" s="99">
        <v>24999</v>
      </c>
      <c r="I71" s="99">
        <v>130717</v>
      </c>
      <c r="J71" s="99">
        <v>85406</v>
      </c>
      <c r="K71" s="99">
        <v>38019</v>
      </c>
      <c r="L71" s="100">
        <v>63548</v>
      </c>
      <c r="M71" s="99">
        <v>77623</v>
      </c>
      <c r="N71" s="99">
        <v>6021</v>
      </c>
      <c r="O71" s="99">
        <v>38019</v>
      </c>
      <c r="P71" s="99">
        <v>23285</v>
      </c>
      <c r="Q71" s="99">
        <v>5421</v>
      </c>
      <c r="R71" s="20">
        <v>130717</v>
      </c>
      <c r="S71" s="107">
        <v>130717</v>
      </c>
      <c r="T71" s="108"/>
    </row>
    <row r="72" spans="1:20" ht="16.5" customHeight="1" x14ac:dyDescent="0.25">
      <c r="A72" s="97" t="s">
        <v>348</v>
      </c>
      <c r="B72" s="105" t="s">
        <v>358</v>
      </c>
      <c r="C72" s="105" t="s">
        <v>341</v>
      </c>
      <c r="D72" s="40" t="s">
        <v>201</v>
      </c>
      <c r="E72" s="37">
        <v>146485</v>
      </c>
      <c r="F72" s="106">
        <v>13572</v>
      </c>
      <c r="G72" s="99">
        <v>16884</v>
      </c>
      <c r="H72" s="99">
        <v>13276</v>
      </c>
      <c r="I72" s="99">
        <v>70992</v>
      </c>
      <c r="J72" s="99">
        <v>54776</v>
      </c>
      <c r="K72" s="99">
        <v>31358</v>
      </c>
      <c r="L72" s="100">
        <v>80000</v>
      </c>
      <c r="M72" s="99">
        <v>57225</v>
      </c>
      <c r="N72" s="99">
        <v>4064</v>
      </c>
      <c r="O72" s="99">
        <v>26113</v>
      </c>
      <c r="P72" s="99">
        <v>31358</v>
      </c>
      <c r="Q72" s="99">
        <v>4340</v>
      </c>
      <c r="R72" s="20">
        <v>80000</v>
      </c>
      <c r="S72" s="107">
        <v>80000</v>
      </c>
      <c r="T72" s="108"/>
    </row>
    <row r="73" spans="1:20" ht="16.5" customHeight="1" x14ac:dyDescent="0.25">
      <c r="A73" s="97" t="s">
        <v>348</v>
      </c>
      <c r="B73" s="105" t="s">
        <v>358</v>
      </c>
      <c r="C73" s="105" t="s">
        <v>275</v>
      </c>
      <c r="D73" s="40" t="s">
        <v>135</v>
      </c>
      <c r="E73" s="37">
        <v>32609</v>
      </c>
      <c r="F73" s="106">
        <v>840</v>
      </c>
      <c r="G73" s="99">
        <v>3818</v>
      </c>
      <c r="H73" s="99">
        <v>2960</v>
      </c>
      <c r="I73" s="99">
        <v>15468</v>
      </c>
      <c r="J73" s="99">
        <v>9597</v>
      </c>
      <c r="K73" s="99">
        <v>3570</v>
      </c>
      <c r="L73" s="100">
        <v>12034</v>
      </c>
      <c r="M73" s="99">
        <v>7260</v>
      </c>
      <c r="N73" s="99">
        <v>336</v>
      </c>
      <c r="O73" s="99">
        <v>3570</v>
      </c>
      <c r="P73" s="99">
        <v>2621</v>
      </c>
      <c r="Q73" s="99">
        <v>1832</v>
      </c>
      <c r="R73" s="20">
        <v>15468</v>
      </c>
      <c r="S73" s="107">
        <v>15468</v>
      </c>
      <c r="T73" s="108"/>
    </row>
    <row r="74" spans="1:20" ht="16.5" customHeight="1" x14ac:dyDescent="0.25">
      <c r="A74" s="97" t="s">
        <v>348</v>
      </c>
      <c r="B74" s="105" t="s">
        <v>358</v>
      </c>
      <c r="C74" s="105" t="s">
        <v>251</v>
      </c>
      <c r="D74" s="40" t="s">
        <v>111</v>
      </c>
      <c r="E74" s="37">
        <v>185387</v>
      </c>
      <c r="F74" s="106">
        <v>2874</v>
      </c>
      <c r="G74" s="99">
        <v>20966</v>
      </c>
      <c r="H74" s="99">
        <v>17095</v>
      </c>
      <c r="I74" s="99">
        <v>89175</v>
      </c>
      <c r="J74" s="99">
        <v>45084</v>
      </c>
      <c r="K74" s="99">
        <v>39414</v>
      </c>
      <c r="L74" s="100">
        <v>42563</v>
      </c>
      <c r="M74" s="99">
        <v>25479</v>
      </c>
      <c r="N74" s="99">
        <v>2907</v>
      </c>
      <c r="O74" s="99">
        <v>21863</v>
      </c>
      <c r="P74" s="99">
        <v>39414</v>
      </c>
      <c r="Q74" s="99">
        <v>2080</v>
      </c>
      <c r="R74" s="20">
        <v>89175</v>
      </c>
      <c r="S74" s="107">
        <v>89175</v>
      </c>
      <c r="T74" s="108"/>
    </row>
    <row r="75" spans="1:20" ht="16.5" customHeight="1" x14ac:dyDescent="0.25">
      <c r="A75" s="97" t="s">
        <v>348</v>
      </c>
      <c r="B75" s="105" t="s">
        <v>358</v>
      </c>
      <c r="C75" s="105" t="s">
        <v>304</v>
      </c>
      <c r="D75" s="40" t="s">
        <v>164</v>
      </c>
      <c r="E75" s="37">
        <v>165494</v>
      </c>
      <c r="F75" s="106">
        <v>2733</v>
      </c>
      <c r="G75" s="99">
        <v>18310</v>
      </c>
      <c r="H75" s="99">
        <v>15939</v>
      </c>
      <c r="I75" s="99">
        <v>83703</v>
      </c>
      <c r="J75" s="99">
        <v>40556</v>
      </c>
      <c r="K75" s="99">
        <v>34994</v>
      </c>
      <c r="L75" s="100">
        <v>0</v>
      </c>
      <c r="M75" s="99">
        <v>26359</v>
      </c>
      <c r="N75" s="99">
        <v>1752</v>
      </c>
      <c r="O75" s="99">
        <v>21747</v>
      </c>
      <c r="P75" s="99">
        <v>34994</v>
      </c>
      <c r="Q75" s="99">
        <v>3349</v>
      </c>
      <c r="R75" s="20">
        <v>83703</v>
      </c>
      <c r="S75" s="107">
        <v>83703</v>
      </c>
      <c r="T75" s="108"/>
    </row>
    <row r="76" spans="1:20" ht="16.5" customHeight="1" x14ac:dyDescent="0.25">
      <c r="A76" s="97" t="s">
        <v>348</v>
      </c>
      <c r="B76" s="105" t="s">
        <v>358</v>
      </c>
      <c r="C76" s="105" t="s">
        <v>264</v>
      </c>
      <c r="D76" s="40" t="s">
        <v>124</v>
      </c>
      <c r="E76" s="37">
        <v>23598</v>
      </c>
      <c r="F76" s="106">
        <v>1602</v>
      </c>
      <c r="G76" s="99">
        <v>2065</v>
      </c>
      <c r="H76" s="99">
        <v>2152</v>
      </c>
      <c r="I76" s="99">
        <v>11391</v>
      </c>
      <c r="J76" s="99">
        <v>7256</v>
      </c>
      <c r="K76" s="99">
        <v>4810</v>
      </c>
      <c r="L76" s="100">
        <v>11000</v>
      </c>
      <c r="M76" s="99">
        <v>4933</v>
      </c>
      <c r="N76" s="99">
        <v>614</v>
      </c>
      <c r="O76" s="99">
        <v>1919</v>
      </c>
      <c r="P76" s="99">
        <v>4810</v>
      </c>
      <c r="Q76" s="99">
        <v>165</v>
      </c>
      <c r="R76" s="20">
        <v>11391</v>
      </c>
      <c r="S76" s="107">
        <v>11391</v>
      </c>
      <c r="T76" s="108"/>
    </row>
    <row r="77" spans="1:20" ht="16.5" customHeight="1" x14ac:dyDescent="0.25">
      <c r="A77" s="97" t="s">
        <v>348</v>
      </c>
      <c r="B77" s="105" t="s">
        <v>358</v>
      </c>
      <c r="C77" s="105" t="s">
        <v>250</v>
      </c>
      <c r="D77" s="40" t="s">
        <v>110</v>
      </c>
      <c r="E77" s="37">
        <v>37602</v>
      </c>
      <c r="F77" s="106">
        <v>120</v>
      </c>
      <c r="G77" s="99">
        <v>3903</v>
      </c>
      <c r="H77" s="99">
        <v>3326</v>
      </c>
      <c r="I77" s="99">
        <v>18152</v>
      </c>
      <c r="J77" s="99">
        <v>8237</v>
      </c>
      <c r="K77" s="99">
        <v>7974</v>
      </c>
      <c r="L77" s="100">
        <v>12000</v>
      </c>
      <c r="M77" s="99">
        <v>3354</v>
      </c>
      <c r="N77" s="99">
        <v>48</v>
      </c>
      <c r="O77" s="99">
        <v>3470</v>
      </c>
      <c r="P77" s="99">
        <v>7974</v>
      </c>
      <c r="Q77" s="99">
        <v>539</v>
      </c>
      <c r="R77" s="20">
        <v>18152</v>
      </c>
      <c r="S77" s="107">
        <v>18152</v>
      </c>
      <c r="T77" s="108"/>
    </row>
    <row r="78" spans="1:20" ht="16.5" customHeight="1" x14ac:dyDescent="0.25">
      <c r="A78" s="97" t="s">
        <v>348</v>
      </c>
      <c r="B78" s="105" t="s">
        <v>358</v>
      </c>
      <c r="C78" s="105" t="s">
        <v>323</v>
      </c>
      <c r="D78" s="40" t="s">
        <v>183</v>
      </c>
      <c r="E78" s="37">
        <v>154615</v>
      </c>
      <c r="F78" s="106">
        <v>2607</v>
      </c>
      <c r="G78" s="99">
        <v>19315</v>
      </c>
      <c r="H78" s="99">
        <v>14702</v>
      </c>
      <c r="I78" s="99">
        <v>81984</v>
      </c>
      <c r="J78" s="99">
        <v>38075</v>
      </c>
      <c r="K78" s="99">
        <v>21892</v>
      </c>
      <c r="L78" s="100">
        <v>75000</v>
      </c>
      <c r="M78" s="99">
        <v>64196</v>
      </c>
      <c r="N78" s="99">
        <v>836</v>
      </c>
      <c r="O78" s="99">
        <v>21892</v>
      </c>
      <c r="P78" s="99">
        <v>12709</v>
      </c>
      <c r="Q78" s="99">
        <v>3294</v>
      </c>
      <c r="R78" s="20">
        <v>81984</v>
      </c>
      <c r="S78" s="107">
        <v>81984</v>
      </c>
      <c r="T78" s="108"/>
    </row>
    <row r="79" spans="1:20" ht="16.5" customHeight="1" x14ac:dyDescent="0.25">
      <c r="A79" s="97" t="s">
        <v>348</v>
      </c>
      <c r="B79" s="105" t="s">
        <v>358</v>
      </c>
      <c r="C79" s="105" t="s">
        <v>289</v>
      </c>
      <c r="D79" s="40" t="s">
        <v>149</v>
      </c>
      <c r="E79" s="37">
        <v>39659</v>
      </c>
      <c r="F79" s="106">
        <v>1500</v>
      </c>
      <c r="G79" s="99">
        <v>5050</v>
      </c>
      <c r="H79" s="99">
        <v>3358</v>
      </c>
      <c r="I79" s="99">
        <v>20730</v>
      </c>
      <c r="J79" s="99">
        <v>11685</v>
      </c>
      <c r="K79" s="99">
        <v>2913</v>
      </c>
      <c r="L79" s="100">
        <v>19000</v>
      </c>
      <c r="M79" s="99">
        <v>24485</v>
      </c>
      <c r="N79" s="99">
        <v>535</v>
      </c>
      <c r="O79" s="99">
        <v>2913</v>
      </c>
      <c r="P79" s="99">
        <v>0</v>
      </c>
      <c r="Q79" s="99">
        <v>1523</v>
      </c>
      <c r="R79" s="20">
        <v>24485</v>
      </c>
      <c r="S79" s="107">
        <v>24485</v>
      </c>
      <c r="T79" s="108"/>
    </row>
    <row r="80" spans="1:20" ht="16.5" customHeight="1" x14ac:dyDescent="0.25">
      <c r="A80" s="97" t="s">
        <v>350</v>
      </c>
      <c r="B80" s="105" t="s">
        <v>360</v>
      </c>
      <c r="C80" s="105" t="s">
        <v>267</v>
      </c>
      <c r="D80" s="40" t="s">
        <v>127</v>
      </c>
      <c r="E80" s="37">
        <v>163137</v>
      </c>
      <c r="F80" s="106">
        <v>11118</v>
      </c>
      <c r="G80" s="99">
        <v>21199</v>
      </c>
      <c r="H80" s="99">
        <v>13317</v>
      </c>
      <c r="I80" s="99">
        <v>86213</v>
      </c>
      <c r="J80" s="99">
        <v>59667</v>
      </c>
      <c r="K80" s="99">
        <v>26900</v>
      </c>
      <c r="L80" s="100">
        <v>63880</v>
      </c>
      <c r="M80" s="99">
        <v>50576</v>
      </c>
      <c r="N80" s="99">
        <v>3232</v>
      </c>
      <c r="O80" s="99">
        <v>26900</v>
      </c>
      <c r="P80" s="99">
        <v>13194</v>
      </c>
      <c r="Q80" s="99">
        <v>7323</v>
      </c>
      <c r="R80" s="20">
        <v>86213</v>
      </c>
      <c r="S80" s="107">
        <v>86213</v>
      </c>
      <c r="T80" s="108"/>
    </row>
    <row r="81" spans="1:20" ht="16.5" customHeight="1" x14ac:dyDescent="0.25">
      <c r="A81" s="97" t="s">
        <v>350</v>
      </c>
      <c r="B81" s="105" t="s">
        <v>360</v>
      </c>
      <c r="C81" s="105" t="s">
        <v>286</v>
      </c>
      <c r="D81" s="40" t="s">
        <v>146</v>
      </c>
      <c r="E81" s="37">
        <v>78577</v>
      </c>
      <c r="F81" s="106">
        <v>4001</v>
      </c>
      <c r="G81" s="99">
        <v>10657</v>
      </c>
      <c r="H81" s="99">
        <v>6216</v>
      </c>
      <c r="I81" s="99">
        <v>32106</v>
      </c>
      <c r="J81" s="99">
        <v>24670</v>
      </c>
      <c r="K81" s="99">
        <v>11931</v>
      </c>
      <c r="L81" s="100">
        <v>18323</v>
      </c>
      <c r="M81" s="99">
        <v>14722</v>
      </c>
      <c r="N81" s="99">
        <v>1334</v>
      </c>
      <c r="O81" s="99">
        <v>11931</v>
      </c>
      <c r="P81" s="99">
        <v>6274</v>
      </c>
      <c r="Q81" s="99">
        <v>1455</v>
      </c>
      <c r="R81" s="20">
        <v>32106</v>
      </c>
      <c r="S81" s="107">
        <v>32106</v>
      </c>
      <c r="T81" s="108"/>
    </row>
    <row r="82" spans="1:20" ht="16.5" customHeight="1" x14ac:dyDescent="0.25">
      <c r="A82" s="97" t="s">
        <v>350</v>
      </c>
      <c r="B82" s="105" t="s">
        <v>360</v>
      </c>
      <c r="C82" s="105" t="s">
        <v>336</v>
      </c>
      <c r="D82" s="40" t="s">
        <v>196</v>
      </c>
      <c r="E82" s="37">
        <v>85152</v>
      </c>
      <c r="F82" s="106">
        <v>8066</v>
      </c>
      <c r="G82" s="99">
        <v>11734</v>
      </c>
      <c r="H82" s="99">
        <v>6663</v>
      </c>
      <c r="I82" s="99">
        <v>33706</v>
      </c>
      <c r="J82" s="99">
        <v>33128</v>
      </c>
      <c r="K82" s="99">
        <v>11172</v>
      </c>
      <c r="L82" s="100">
        <v>30600</v>
      </c>
      <c r="M82" s="99">
        <v>22395</v>
      </c>
      <c r="N82" s="99">
        <v>2163</v>
      </c>
      <c r="O82" s="99">
        <v>11172</v>
      </c>
      <c r="P82" s="99">
        <v>6773</v>
      </c>
      <c r="Q82" s="99">
        <v>2267</v>
      </c>
      <c r="R82" s="20">
        <v>33706</v>
      </c>
      <c r="S82" s="107">
        <v>33706</v>
      </c>
      <c r="T82" s="108"/>
    </row>
    <row r="83" spans="1:20" ht="16.5" customHeight="1" x14ac:dyDescent="0.25">
      <c r="A83" s="97" t="s">
        <v>350</v>
      </c>
      <c r="B83" s="105" t="s">
        <v>360</v>
      </c>
      <c r="C83" s="105" t="s">
        <v>236</v>
      </c>
      <c r="D83" s="40" t="s">
        <v>96</v>
      </c>
      <c r="E83" s="37">
        <v>31774</v>
      </c>
      <c r="F83" s="106">
        <v>2700</v>
      </c>
      <c r="G83" s="99">
        <v>4412</v>
      </c>
      <c r="H83" s="99">
        <v>2420</v>
      </c>
      <c r="I83" s="99">
        <v>12667</v>
      </c>
      <c r="J83" s="99">
        <v>11486</v>
      </c>
      <c r="K83" s="99">
        <v>3542</v>
      </c>
      <c r="L83" s="100">
        <v>17000</v>
      </c>
      <c r="M83" s="99">
        <v>8199</v>
      </c>
      <c r="N83" s="99">
        <v>900</v>
      </c>
      <c r="O83" s="99">
        <v>3542</v>
      </c>
      <c r="P83" s="99">
        <v>2588</v>
      </c>
      <c r="Q83" s="99">
        <v>460</v>
      </c>
      <c r="R83" s="20">
        <v>17000</v>
      </c>
      <c r="S83" s="107">
        <v>12667</v>
      </c>
      <c r="T83" s="108"/>
    </row>
    <row r="84" spans="1:20" ht="16.5" customHeight="1" x14ac:dyDescent="0.25">
      <c r="A84" s="97" t="s">
        <v>350</v>
      </c>
      <c r="B84" s="105" t="s">
        <v>360</v>
      </c>
      <c r="C84" s="105" t="s">
        <v>292</v>
      </c>
      <c r="D84" s="40" t="s">
        <v>152</v>
      </c>
      <c r="E84" s="37">
        <v>129573</v>
      </c>
      <c r="F84" s="106">
        <v>5550</v>
      </c>
      <c r="G84" s="99">
        <v>15617</v>
      </c>
      <c r="H84" s="99">
        <v>10384</v>
      </c>
      <c r="I84" s="99">
        <v>53248</v>
      </c>
      <c r="J84" s="99">
        <v>42246</v>
      </c>
      <c r="K84" s="99">
        <v>27497</v>
      </c>
      <c r="L84" s="100">
        <v>53214</v>
      </c>
      <c r="M84" s="99">
        <v>88699</v>
      </c>
      <c r="N84" s="99">
        <v>1850</v>
      </c>
      <c r="O84" s="99">
        <v>20142</v>
      </c>
      <c r="P84" s="99">
        <v>27497</v>
      </c>
      <c r="Q84" s="99">
        <v>4276</v>
      </c>
      <c r="R84" s="20">
        <v>88699</v>
      </c>
      <c r="S84" s="107">
        <v>88699</v>
      </c>
      <c r="T84" s="108"/>
    </row>
    <row r="85" spans="1:20" ht="16.5" customHeight="1" x14ac:dyDescent="0.25">
      <c r="A85" s="97" t="s">
        <v>350</v>
      </c>
      <c r="B85" s="105" t="s">
        <v>360</v>
      </c>
      <c r="C85" s="105" t="s">
        <v>328</v>
      </c>
      <c r="D85" s="40" t="s">
        <v>188</v>
      </c>
      <c r="E85" s="37">
        <v>52389</v>
      </c>
      <c r="F85" s="106">
        <v>3096</v>
      </c>
      <c r="G85" s="99">
        <v>6784</v>
      </c>
      <c r="H85" s="99">
        <v>4206</v>
      </c>
      <c r="I85" s="99">
        <v>21281</v>
      </c>
      <c r="J85" s="99">
        <v>21047</v>
      </c>
      <c r="K85" s="99">
        <v>6960</v>
      </c>
      <c r="L85" s="100">
        <v>25163</v>
      </c>
      <c r="M85" s="99">
        <v>18664</v>
      </c>
      <c r="N85" s="99">
        <v>1032</v>
      </c>
      <c r="O85" s="99">
        <v>6960</v>
      </c>
      <c r="P85" s="99">
        <v>4164</v>
      </c>
      <c r="Q85" s="99">
        <v>2429</v>
      </c>
      <c r="R85" s="20">
        <v>25163</v>
      </c>
      <c r="S85" s="107">
        <v>25163</v>
      </c>
      <c r="T85" s="108"/>
    </row>
    <row r="86" spans="1:20" ht="16.5" customHeight="1" x14ac:dyDescent="0.25">
      <c r="A86" s="97" t="s">
        <v>350</v>
      </c>
      <c r="B86" s="105" t="s">
        <v>360</v>
      </c>
      <c r="C86" s="105" t="s">
        <v>226</v>
      </c>
      <c r="D86" s="40" t="s">
        <v>86</v>
      </c>
      <c r="E86" s="37">
        <v>79705</v>
      </c>
      <c r="F86" s="106">
        <v>11100</v>
      </c>
      <c r="G86" s="99">
        <v>10456</v>
      </c>
      <c r="H86" s="99">
        <v>6246</v>
      </c>
      <c r="I86" s="99">
        <v>30517</v>
      </c>
      <c r="J86" s="99">
        <v>34419</v>
      </c>
      <c r="K86" s="99">
        <v>7408</v>
      </c>
      <c r="L86" s="100">
        <v>28451</v>
      </c>
      <c r="M86" s="99">
        <v>30364</v>
      </c>
      <c r="N86" s="99">
        <v>3272</v>
      </c>
      <c r="O86" s="99">
        <v>7408</v>
      </c>
      <c r="P86" s="99">
        <v>6364</v>
      </c>
      <c r="Q86" s="99">
        <v>456</v>
      </c>
      <c r="R86" s="20">
        <v>34419</v>
      </c>
      <c r="S86" s="107">
        <v>34419</v>
      </c>
      <c r="T86" s="108"/>
    </row>
    <row r="87" spans="1:20" ht="16.5" customHeight="1" x14ac:dyDescent="0.25">
      <c r="A87" s="97" t="s">
        <v>350</v>
      </c>
      <c r="B87" s="105" t="s">
        <v>360</v>
      </c>
      <c r="C87" s="105" t="s">
        <v>279</v>
      </c>
      <c r="D87" s="40" t="s">
        <v>139</v>
      </c>
      <c r="E87" s="37">
        <v>65198</v>
      </c>
      <c r="F87" s="106">
        <v>9000</v>
      </c>
      <c r="G87" s="99">
        <v>8523</v>
      </c>
      <c r="H87" s="99">
        <v>5071</v>
      </c>
      <c r="I87" s="99">
        <v>24987</v>
      </c>
      <c r="J87" s="99">
        <v>31074</v>
      </c>
      <c r="K87" s="99">
        <v>6713</v>
      </c>
      <c r="L87" s="100">
        <v>17108</v>
      </c>
      <c r="M87" s="99">
        <v>43840</v>
      </c>
      <c r="N87" s="99">
        <v>2734</v>
      </c>
      <c r="O87" s="99">
        <v>6713</v>
      </c>
      <c r="P87" s="99">
        <v>5276</v>
      </c>
      <c r="Q87" s="99">
        <v>3410</v>
      </c>
      <c r="R87" s="20">
        <v>43840</v>
      </c>
      <c r="S87" s="107">
        <v>43840</v>
      </c>
      <c r="T87" s="108"/>
    </row>
    <row r="88" spans="1:20" ht="16.5" customHeight="1" x14ac:dyDescent="0.25">
      <c r="A88" s="97" t="s">
        <v>350</v>
      </c>
      <c r="B88" s="105" t="s">
        <v>360</v>
      </c>
      <c r="C88" s="105" t="s">
        <v>221</v>
      </c>
      <c r="D88" s="40" t="s">
        <v>81</v>
      </c>
      <c r="E88" s="37">
        <v>123067</v>
      </c>
      <c r="F88" s="106">
        <v>16950</v>
      </c>
      <c r="G88" s="99">
        <v>15654</v>
      </c>
      <c r="H88" s="99">
        <v>9633</v>
      </c>
      <c r="I88" s="99">
        <v>47178</v>
      </c>
      <c r="J88" s="99">
        <v>56397</v>
      </c>
      <c r="K88" s="99">
        <v>18145</v>
      </c>
      <c r="L88" s="100">
        <v>38451</v>
      </c>
      <c r="M88" s="99">
        <v>45304</v>
      </c>
      <c r="N88" s="99">
        <v>5450</v>
      </c>
      <c r="O88" s="99">
        <v>18145</v>
      </c>
      <c r="P88" s="99">
        <v>9859</v>
      </c>
      <c r="Q88" s="99">
        <v>4237</v>
      </c>
      <c r="R88" s="20">
        <v>56397</v>
      </c>
      <c r="S88" s="107">
        <v>56397</v>
      </c>
      <c r="T88" s="108"/>
    </row>
    <row r="89" spans="1:20" ht="16.5" customHeight="1" x14ac:dyDescent="0.25">
      <c r="A89" s="97" t="s">
        <v>350</v>
      </c>
      <c r="B89" s="105" t="s">
        <v>360</v>
      </c>
      <c r="C89" s="105" t="s">
        <v>329</v>
      </c>
      <c r="D89" s="40" t="s">
        <v>189</v>
      </c>
      <c r="E89" s="37">
        <v>46902</v>
      </c>
      <c r="F89" s="106">
        <v>482</v>
      </c>
      <c r="G89" s="99">
        <v>5438</v>
      </c>
      <c r="H89" s="99">
        <v>3815</v>
      </c>
      <c r="I89" s="99">
        <v>19718</v>
      </c>
      <c r="J89" s="99">
        <v>14653</v>
      </c>
      <c r="K89" s="99">
        <v>3779</v>
      </c>
      <c r="L89" s="100">
        <v>23291</v>
      </c>
      <c r="M89" s="99">
        <v>5989</v>
      </c>
      <c r="N89" s="99">
        <v>161</v>
      </c>
      <c r="O89" s="99">
        <v>3587</v>
      </c>
      <c r="P89" s="99">
        <v>3779</v>
      </c>
      <c r="Q89" s="99">
        <v>3622</v>
      </c>
      <c r="R89" s="20">
        <v>23291</v>
      </c>
      <c r="S89" s="107">
        <v>23291</v>
      </c>
      <c r="T89" s="108"/>
    </row>
    <row r="90" spans="1:20" ht="16.5" customHeight="1" x14ac:dyDescent="0.25">
      <c r="A90" s="97" t="s">
        <v>350</v>
      </c>
      <c r="B90" s="105" t="s">
        <v>360</v>
      </c>
      <c r="C90" s="105" t="s">
        <v>237</v>
      </c>
      <c r="D90" s="40" t="s">
        <v>97</v>
      </c>
      <c r="E90" s="37">
        <v>73041</v>
      </c>
      <c r="F90" s="106">
        <v>456</v>
      </c>
      <c r="G90" s="99">
        <v>10058</v>
      </c>
      <c r="H90" s="99">
        <v>5685</v>
      </c>
      <c r="I90" s="99">
        <v>30793</v>
      </c>
      <c r="J90" s="99">
        <v>18034</v>
      </c>
      <c r="K90" s="99">
        <v>9755</v>
      </c>
      <c r="L90" s="100">
        <v>25000</v>
      </c>
      <c r="M90" s="99">
        <v>5479</v>
      </c>
      <c r="N90" s="99">
        <v>152</v>
      </c>
      <c r="O90" s="99">
        <v>9755</v>
      </c>
      <c r="P90" s="99">
        <v>5882</v>
      </c>
      <c r="Q90" s="99">
        <v>1290</v>
      </c>
      <c r="R90" s="20">
        <v>30793</v>
      </c>
      <c r="S90" s="107">
        <v>30793</v>
      </c>
      <c r="T90" s="108"/>
    </row>
    <row r="91" spans="1:20" ht="16.5" customHeight="1" x14ac:dyDescent="0.25">
      <c r="A91" s="97" t="s">
        <v>350</v>
      </c>
      <c r="B91" s="105" t="s">
        <v>360</v>
      </c>
      <c r="C91" s="105" t="s">
        <v>334</v>
      </c>
      <c r="D91" s="40" t="s">
        <v>194</v>
      </c>
      <c r="E91" s="37">
        <v>85148</v>
      </c>
      <c r="F91" s="106">
        <v>5550</v>
      </c>
      <c r="G91" s="99">
        <v>12504</v>
      </c>
      <c r="H91" s="99">
        <v>6676</v>
      </c>
      <c r="I91" s="99">
        <v>34438</v>
      </c>
      <c r="J91" s="99">
        <v>30579</v>
      </c>
      <c r="K91" s="99">
        <v>11539</v>
      </c>
      <c r="L91" s="100">
        <v>40724</v>
      </c>
      <c r="M91" s="99">
        <v>16635</v>
      </c>
      <c r="N91" s="99">
        <v>1585</v>
      </c>
      <c r="O91" s="99">
        <v>11539</v>
      </c>
      <c r="P91" s="99">
        <v>6935</v>
      </c>
      <c r="Q91" s="99">
        <v>3633</v>
      </c>
      <c r="R91" s="20">
        <v>40724</v>
      </c>
      <c r="S91" s="107">
        <v>40724</v>
      </c>
      <c r="T91" s="108"/>
    </row>
    <row r="92" spans="1:20" ht="16.5" customHeight="1" x14ac:dyDescent="0.25">
      <c r="A92" s="97" t="s">
        <v>349</v>
      </c>
      <c r="B92" s="105" t="s">
        <v>359</v>
      </c>
      <c r="C92" s="105" t="s">
        <v>282</v>
      </c>
      <c r="D92" s="40" t="s">
        <v>142</v>
      </c>
      <c r="E92" s="37">
        <v>207439</v>
      </c>
      <c r="F92" s="106">
        <v>55220</v>
      </c>
      <c r="G92" s="99">
        <v>4633</v>
      </c>
      <c r="H92" s="99">
        <v>19015</v>
      </c>
      <c r="I92" s="99">
        <v>137197</v>
      </c>
      <c r="J92" s="99">
        <v>130006</v>
      </c>
      <c r="K92" s="99">
        <v>40186</v>
      </c>
      <c r="L92" s="100">
        <v>82674</v>
      </c>
      <c r="M92" s="99">
        <v>124795</v>
      </c>
      <c r="N92" s="99">
        <v>17370</v>
      </c>
      <c r="O92" s="99">
        <v>40186</v>
      </c>
      <c r="P92" s="99">
        <v>17321</v>
      </c>
      <c r="Q92" s="99">
        <v>2644</v>
      </c>
      <c r="R92" s="20">
        <v>137197</v>
      </c>
      <c r="S92" s="107">
        <v>137197</v>
      </c>
      <c r="T92" s="108"/>
    </row>
    <row r="93" spans="1:20" ht="16.5" customHeight="1" x14ac:dyDescent="0.25">
      <c r="A93" s="97" t="s">
        <v>349</v>
      </c>
      <c r="B93" s="105" t="s">
        <v>359</v>
      </c>
      <c r="C93" s="105" t="s">
        <v>338</v>
      </c>
      <c r="D93" s="40" t="s">
        <v>198</v>
      </c>
      <c r="E93" s="37">
        <v>93827</v>
      </c>
      <c r="F93" s="106">
        <v>12608</v>
      </c>
      <c r="G93" s="99">
        <v>4435</v>
      </c>
      <c r="H93" s="99">
        <v>8356</v>
      </c>
      <c r="I93" s="99">
        <v>45587</v>
      </c>
      <c r="J93" s="99">
        <v>39610</v>
      </c>
      <c r="K93" s="99">
        <v>18489</v>
      </c>
      <c r="L93" s="100">
        <v>33794</v>
      </c>
      <c r="M93" s="99">
        <v>31919</v>
      </c>
      <c r="N93" s="99">
        <v>2362</v>
      </c>
      <c r="O93" s="99">
        <v>18489</v>
      </c>
      <c r="P93" s="99">
        <v>7514</v>
      </c>
      <c r="Q93" s="99">
        <v>309</v>
      </c>
      <c r="R93" s="20">
        <v>45587</v>
      </c>
      <c r="S93" s="107">
        <v>45587</v>
      </c>
      <c r="T93" s="108"/>
    </row>
    <row r="94" spans="1:20" ht="16.5" customHeight="1" x14ac:dyDescent="0.25">
      <c r="A94" s="97" t="s">
        <v>349</v>
      </c>
      <c r="B94" s="105" t="s">
        <v>359</v>
      </c>
      <c r="C94" s="105" t="s">
        <v>240</v>
      </c>
      <c r="D94" s="40" t="s">
        <v>100</v>
      </c>
      <c r="E94" s="37">
        <v>41237</v>
      </c>
      <c r="F94" s="106">
        <v>4410</v>
      </c>
      <c r="G94" s="99">
        <v>3780</v>
      </c>
      <c r="H94" s="99">
        <v>3512</v>
      </c>
      <c r="I94" s="99">
        <v>18684</v>
      </c>
      <c r="J94" s="99">
        <v>15904</v>
      </c>
      <c r="K94" s="99">
        <v>10284</v>
      </c>
      <c r="L94" s="100">
        <v>18383</v>
      </c>
      <c r="M94" s="99">
        <v>11739</v>
      </c>
      <c r="N94" s="99">
        <v>1470</v>
      </c>
      <c r="O94" s="99">
        <v>10284</v>
      </c>
      <c r="P94" s="99">
        <v>3301</v>
      </c>
      <c r="Q94" s="99">
        <v>305</v>
      </c>
      <c r="R94" s="20">
        <v>18684</v>
      </c>
      <c r="S94" s="107">
        <v>18684</v>
      </c>
      <c r="T94" s="108"/>
    </row>
    <row r="95" spans="1:20" ht="16.5" customHeight="1" x14ac:dyDescent="0.25">
      <c r="A95" s="97" t="s">
        <v>349</v>
      </c>
      <c r="B95" s="105" t="s">
        <v>359</v>
      </c>
      <c r="C95" s="105" t="s">
        <v>228</v>
      </c>
      <c r="D95" s="40" t="s">
        <v>88</v>
      </c>
      <c r="E95" s="37">
        <v>51550</v>
      </c>
      <c r="F95" s="106">
        <v>1553</v>
      </c>
      <c r="G95" s="99">
        <v>5018</v>
      </c>
      <c r="H95" s="99">
        <v>4595</v>
      </c>
      <c r="I95" s="99">
        <v>26989</v>
      </c>
      <c r="J95" s="99">
        <v>13876</v>
      </c>
      <c r="K95" s="99">
        <v>10714</v>
      </c>
      <c r="L95" s="100">
        <v>19845</v>
      </c>
      <c r="M95" s="99">
        <v>11215</v>
      </c>
      <c r="N95" s="99">
        <v>518</v>
      </c>
      <c r="O95" s="99">
        <v>9213</v>
      </c>
      <c r="P95" s="99">
        <v>10714</v>
      </c>
      <c r="Q95" s="99">
        <v>237</v>
      </c>
      <c r="R95" s="20">
        <v>26989</v>
      </c>
      <c r="S95" s="107">
        <v>26989</v>
      </c>
      <c r="T95" s="108"/>
    </row>
    <row r="96" spans="1:20" ht="16.5" customHeight="1" x14ac:dyDescent="0.25">
      <c r="A96" s="97" t="s">
        <v>349</v>
      </c>
      <c r="B96" s="105" t="s">
        <v>359</v>
      </c>
      <c r="C96" s="105" t="s">
        <v>287</v>
      </c>
      <c r="D96" s="40" t="s">
        <v>147</v>
      </c>
      <c r="E96" s="37">
        <v>27507</v>
      </c>
      <c r="F96" s="106">
        <v>2906</v>
      </c>
      <c r="G96" s="99">
        <v>2810</v>
      </c>
      <c r="H96" s="99">
        <v>2451</v>
      </c>
      <c r="I96" s="99">
        <v>14341</v>
      </c>
      <c r="J96" s="99">
        <v>10431</v>
      </c>
      <c r="K96" s="99">
        <v>4524</v>
      </c>
      <c r="L96" s="100">
        <v>12785</v>
      </c>
      <c r="M96" s="99">
        <v>9410</v>
      </c>
      <c r="N96" s="99">
        <v>969</v>
      </c>
      <c r="O96" s="99">
        <v>4524</v>
      </c>
      <c r="P96" s="99">
        <v>2178</v>
      </c>
      <c r="Q96" s="99">
        <v>79</v>
      </c>
      <c r="R96" s="20">
        <v>14341</v>
      </c>
      <c r="S96" s="107">
        <v>14341</v>
      </c>
      <c r="T96" s="108"/>
    </row>
    <row r="97" spans="1:20" ht="16.5" customHeight="1" x14ac:dyDescent="0.25">
      <c r="A97" s="97" t="s">
        <v>349</v>
      </c>
      <c r="B97" s="105" t="s">
        <v>359</v>
      </c>
      <c r="C97" s="105" t="s">
        <v>268</v>
      </c>
      <c r="D97" s="40" t="s">
        <v>128</v>
      </c>
      <c r="E97" s="37">
        <v>17491</v>
      </c>
      <c r="F97" s="106">
        <v>338</v>
      </c>
      <c r="G97" s="99">
        <v>1926</v>
      </c>
      <c r="H97" s="99">
        <v>1475</v>
      </c>
      <c r="I97" s="99">
        <v>7549</v>
      </c>
      <c r="J97" s="99">
        <v>4502</v>
      </c>
      <c r="K97" s="99">
        <v>1840</v>
      </c>
      <c r="L97" s="100">
        <v>5000</v>
      </c>
      <c r="M97" s="99">
        <v>8908</v>
      </c>
      <c r="N97" s="99">
        <v>113</v>
      </c>
      <c r="O97" s="99">
        <v>1840</v>
      </c>
      <c r="P97" s="99">
        <v>1359</v>
      </c>
      <c r="Q97" s="99">
        <v>154</v>
      </c>
      <c r="R97" s="20">
        <v>8908</v>
      </c>
      <c r="S97" s="107">
        <v>8908</v>
      </c>
      <c r="T97" s="108"/>
    </row>
    <row r="98" spans="1:20" ht="16.5" customHeight="1" x14ac:dyDescent="0.25">
      <c r="A98" s="97" t="s">
        <v>349</v>
      </c>
      <c r="B98" s="105" t="s">
        <v>359</v>
      </c>
      <c r="C98" s="105" t="s">
        <v>316</v>
      </c>
      <c r="D98" s="40" t="s">
        <v>176</v>
      </c>
      <c r="E98" s="37">
        <v>25431</v>
      </c>
      <c r="F98" s="106">
        <v>5943</v>
      </c>
      <c r="G98" s="99">
        <v>2624</v>
      </c>
      <c r="H98" s="99">
        <v>2441</v>
      </c>
      <c r="I98" s="99">
        <v>9363</v>
      </c>
      <c r="J98" s="99">
        <v>14707</v>
      </c>
      <c r="K98" s="99">
        <v>6011</v>
      </c>
      <c r="L98" s="100">
        <v>5367</v>
      </c>
      <c r="M98" s="99">
        <v>14769</v>
      </c>
      <c r="N98" s="99">
        <v>1981</v>
      </c>
      <c r="O98" s="99">
        <v>6011</v>
      </c>
      <c r="P98" s="99">
        <v>2030</v>
      </c>
      <c r="Q98" s="99">
        <v>316</v>
      </c>
      <c r="R98" s="20">
        <v>14769</v>
      </c>
      <c r="S98" s="107">
        <v>14769</v>
      </c>
      <c r="T98" s="108"/>
    </row>
    <row r="99" spans="1:20" ht="16.5" customHeight="1" x14ac:dyDescent="0.25">
      <c r="A99" s="97" t="s">
        <v>349</v>
      </c>
      <c r="B99" s="105" t="s">
        <v>359</v>
      </c>
      <c r="C99" s="105" t="s">
        <v>325</v>
      </c>
      <c r="D99" s="40" t="s">
        <v>185</v>
      </c>
      <c r="E99" s="37">
        <v>35362</v>
      </c>
      <c r="F99" s="106">
        <v>9900</v>
      </c>
      <c r="G99" s="99">
        <v>3593</v>
      </c>
      <c r="H99" s="99">
        <v>3063</v>
      </c>
      <c r="I99" s="99">
        <v>12534</v>
      </c>
      <c r="J99" s="99">
        <v>22514</v>
      </c>
      <c r="K99" s="99">
        <v>7231</v>
      </c>
      <c r="L99" s="100">
        <v>16324</v>
      </c>
      <c r="M99" s="99">
        <v>22091</v>
      </c>
      <c r="N99" s="99">
        <v>2612</v>
      </c>
      <c r="O99" s="99">
        <v>7231</v>
      </c>
      <c r="P99" s="99">
        <v>2796</v>
      </c>
      <c r="Q99" s="99">
        <v>83</v>
      </c>
      <c r="R99" s="20">
        <v>22514</v>
      </c>
      <c r="S99" s="107">
        <v>22514</v>
      </c>
      <c r="T99" s="108"/>
    </row>
    <row r="100" spans="1:20" ht="16.5" customHeight="1" x14ac:dyDescent="0.25">
      <c r="A100" s="97" t="s">
        <v>349</v>
      </c>
      <c r="B100" s="105" t="s">
        <v>359</v>
      </c>
      <c r="C100" s="105" t="s">
        <v>213</v>
      </c>
      <c r="D100" s="40" t="s">
        <v>73</v>
      </c>
      <c r="E100" s="37">
        <v>35838</v>
      </c>
      <c r="F100" s="106">
        <v>4617</v>
      </c>
      <c r="G100" s="99">
        <v>3796</v>
      </c>
      <c r="H100" s="99">
        <v>2977</v>
      </c>
      <c r="I100" s="99">
        <v>14305</v>
      </c>
      <c r="J100" s="99">
        <v>14718</v>
      </c>
      <c r="K100" s="99">
        <v>4510</v>
      </c>
      <c r="L100" s="100">
        <v>20570</v>
      </c>
      <c r="M100" s="99">
        <v>11643</v>
      </c>
      <c r="N100" s="99">
        <v>1539</v>
      </c>
      <c r="O100" s="99">
        <v>4510</v>
      </c>
      <c r="P100" s="99">
        <v>2813</v>
      </c>
      <c r="Q100" s="99">
        <v>0</v>
      </c>
      <c r="R100" s="20">
        <v>20570</v>
      </c>
      <c r="S100" s="107">
        <v>14718</v>
      </c>
      <c r="T100" s="108"/>
    </row>
    <row r="101" spans="1:20" ht="16.5" customHeight="1" x14ac:dyDescent="0.25">
      <c r="A101" s="97" t="s">
        <v>349</v>
      </c>
      <c r="B101" s="105" t="s">
        <v>359</v>
      </c>
      <c r="C101" s="105" t="s">
        <v>210</v>
      </c>
      <c r="D101" s="40" t="s">
        <v>70</v>
      </c>
      <c r="E101" s="37">
        <v>123719</v>
      </c>
      <c r="F101" s="106">
        <v>12444</v>
      </c>
      <c r="G101" s="99">
        <v>17604</v>
      </c>
      <c r="H101" s="99">
        <v>11850</v>
      </c>
      <c r="I101" s="99">
        <v>64429</v>
      </c>
      <c r="J101" s="99">
        <v>45894</v>
      </c>
      <c r="K101" s="99">
        <v>26979</v>
      </c>
      <c r="L101" s="100">
        <v>50332</v>
      </c>
      <c r="M101" s="99">
        <v>47607</v>
      </c>
      <c r="N101" s="99">
        <v>4665</v>
      </c>
      <c r="O101" s="99">
        <v>26979</v>
      </c>
      <c r="P101" s="99">
        <v>10081</v>
      </c>
      <c r="Q101" s="99">
        <v>258</v>
      </c>
      <c r="R101" s="20">
        <v>64429</v>
      </c>
      <c r="S101" s="107">
        <v>64429</v>
      </c>
      <c r="T101" s="108"/>
    </row>
    <row r="102" spans="1:20" ht="16.5" customHeight="1" x14ac:dyDescent="0.25">
      <c r="A102" s="97" t="s">
        <v>349</v>
      </c>
      <c r="B102" s="105" t="s">
        <v>359</v>
      </c>
      <c r="C102" s="105" t="s">
        <v>326</v>
      </c>
      <c r="D102" s="40" t="s">
        <v>186</v>
      </c>
      <c r="E102" s="37">
        <v>80295</v>
      </c>
      <c r="F102" s="106">
        <v>11102</v>
      </c>
      <c r="G102" s="99">
        <v>12149</v>
      </c>
      <c r="H102" s="99">
        <v>6570</v>
      </c>
      <c r="I102" s="99">
        <v>38901</v>
      </c>
      <c r="J102" s="99">
        <v>34199</v>
      </c>
      <c r="K102" s="99">
        <v>10656</v>
      </c>
      <c r="L102" s="100">
        <v>35000</v>
      </c>
      <c r="M102" s="99">
        <v>31747</v>
      </c>
      <c r="N102" s="99">
        <v>2938</v>
      </c>
      <c r="O102" s="99">
        <v>10656</v>
      </c>
      <c r="P102" s="99">
        <v>6563</v>
      </c>
      <c r="Q102" s="99">
        <v>104</v>
      </c>
      <c r="R102" s="20">
        <v>38901</v>
      </c>
      <c r="S102" s="107">
        <v>38901</v>
      </c>
      <c r="T102" s="108"/>
    </row>
    <row r="103" spans="1:20" ht="16.5" customHeight="1" x14ac:dyDescent="0.25">
      <c r="A103" s="97" t="s">
        <v>349</v>
      </c>
      <c r="B103" s="105" t="s">
        <v>359</v>
      </c>
      <c r="C103" s="105" t="s">
        <v>234</v>
      </c>
      <c r="D103" s="40" t="s">
        <v>94</v>
      </c>
      <c r="E103" s="37">
        <v>63397</v>
      </c>
      <c r="F103" s="106">
        <v>13028</v>
      </c>
      <c r="G103" s="99">
        <v>6542</v>
      </c>
      <c r="H103" s="99">
        <v>5606</v>
      </c>
      <c r="I103" s="99">
        <v>29172</v>
      </c>
      <c r="J103" s="99">
        <v>33476</v>
      </c>
      <c r="K103" s="99">
        <v>11840</v>
      </c>
      <c r="L103" s="100">
        <v>41034</v>
      </c>
      <c r="M103" s="99">
        <v>32060</v>
      </c>
      <c r="N103" s="99">
        <v>3362</v>
      </c>
      <c r="O103" s="99">
        <v>11840</v>
      </c>
      <c r="P103" s="99">
        <v>5098</v>
      </c>
      <c r="Q103" s="99">
        <v>248</v>
      </c>
      <c r="R103" s="20">
        <v>41034</v>
      </c>
      <c r="S103" s="107">
        <v>41034</v>
      </c>
      <c r="T103" s="108"/>
    </row>
    <row r="104" spans="1:20" ht="16.5" customHeight="1" x14ac:dyDescent="0.25">
      <c r="A104" s="97" t="s">
        <v>349</v>
      </c>
      <c r="B104" s="105" t="s">
        <v>359</v>
      </c>
      <c r="C104" s="105" t="s">
        <v>245</v>
      </c>
      <c r="D104" s="40" t="s">
        <v>105</v>
      </c>
      <c r="E104" s="37">
        <v>25395</v>
      </c>
      <c r="F104" s="106">
        <v>2234</v>
      </c>
      <c r="G104" s="99">
        <v>2844</v>
      </c>
      <c r="H104" s="99">
        <v>2116</v>
      </c>
      <c r="I104" s="99">
        <v>10443</v>
      </c>
      <c r="J104" s="99">
        <v>8896</v>
      </c>
      <c r="K104" s="99">
        <v>2783</v>
      </c>
      <c r="L104" s="100">
        <v>11953</v>
      </c>
      <c r="M104" s="99">
        <v>7068</v>
      </c>
      <c r="N104" s="99">
        <v>745</v>
      </c>
      <c r="O104" s="99">
        <v>2783</v>
      </c>
      <c r="P104" s="99">
        <v>2039</v>
      </c>
      <c r="Q104" s="99">
        <v>4</v>
      </c>
      <c r="R104" s="20">
        <v>11953</v>
      </c>
      <c r="S104" s="107">
        <v>11953</v>
      </c>
      <c r="T104" s="108"/>
    </row>
    <row r="105" spans="1:20" ht="16.5" customHeight="1" x14ac:dyDescent="0.25">
      <c r="A105" s="97" t="s">
        <v>349</v>
      </c>
      <c r="B105" s="105" t="s">
        <v>359</v>
      </c>
      <c r="C105" s="105" t="s">
        <v>312</v>
      </c>
      <c r="D105" s="40" t="s">
        <v>172</v>
      </c>
      <c r="E105" s="37">
        <v>26647</v>
      </c>
      <c r="F105" s="106">
        <v>8027</v>
      </c>
      <c r="G105" s="99">
        <v>982</v>
      </c>
      <c r="H105" s="99">
        <v>2134</v>
      </c>
      <c r="I105" s="99">
        <v>7537</v>
      </c>
      <c r="J105" s="99">
        <v>18671</v>
      </c>
      <c r="K105" s="99">
        <v>4559</v>
      </c>
      <c r="L105" s="100">
        <v>13749</v>
      </c>
      <c r="M105" s="99">
        <v>17201</v>
      </c>
      <c r="N105" s="99">
        <v>1661</v>
      </c>
      <c r="O105" s="99">
        <v>4559</v>
      </c>
      <c r="P105" s="99">
        <v>2200</v>
      </c>
      <c r="Q105" s="99">
        <v>79</v>
      </c>
      <c r="R105" s="20">
        <v>18671</v>
      </c>
      <c r="S105" s="107">
        <v>18671</v>
      </c>
      <c r="T105" s="108"/>
    </row>
    <row r="106" spans="1:20" ht="16.5" customHeight="1" x14ac:dyDescent="0.25">
      <c r="A106" s="97" t="s">
        <v>349</v>
      </c>
      <c r="B106" s="105" t="s">
        <v>359</v>
      </c>
      <c r="C106" s="105" t="s">
        <v>319</v>
      </c>
      <c r="D106" s="40" t="s">
        <v>179</v>
      </c>
      <c r="E106" s="37">
        <v>28335</v>
      </c>
      <c r="F106" s="106">
        <v>11394</v>
      </c>
      <c r="G106" s="99">
        <v>3315</v>
      </c>
      <c r="H106" s="99">
        <v>2385</v>
      </c>
      <c r="I106" s="99">
        <v>9017</v>
      </c>
      <c r="J106" s="99">
        <v>23103</v>
      </c>
      <c r="K106" s="99">
        <v>4260</v>
      </c>
      <c r="L106" s="100">
        <v>10370</v>
      </c>
      <c r="M106" s="99">
        <v>24498</v>
      </c>
      <c r="N106" s="99">
        <v>2719</v>
      </c>
      <c r="O106" s="99">
        <v>4260</v>
      </c>
      <c r="P106" s="99">
        <v>2325</v>
      </c>
      <c r="Q106" s="99">
        <v>0</v>
      </c>
      <c r="R106" s="20">
        <v>24498</v>
      </c>
      <c r="S106" s="107">
        <v>24498</v>
      </c>
      <c r="T106" s="108"/>
    </row>
    <row r="107" spans="1:20" ht="16.5" customHeight="1" x14ac:dyDescent="0.25">
      <c r="A107" s="97" t="s">
        <v>349</v>
      </c>
      <c r="B107" s="105" t="s">
        <v>359</v>
      </c>
      <c r="C107" s="105" t="s">
        <v>241</v>
      </c>
      <c r="D107" s="40" t="s">
        <v>101</v>
      </c>
      <c r="E107" s="37">
        <v>32835</v>
      </c>
      <c r="F107" s="106">
        <v>6705</v>
      </c>
      <c r="G107" s="99">
        <v>3702</v>
      </c>
      <c r="H107" s="99">
        <v>2687</v>
      </c>
      <c r="I107" s="99">
        <v>13428</v>
      </c>
      <c r="J107" s="99">
        <v>17451</v>
      </c>
      <c r="K107" s="99">
        <v>4946</v>
      </c>
      <c r="L107" s="100">
        <v>14183</v>
      </c>
      <c r="M107" s="99">
        <v>15400</v>
      </c>
      <c r="N107" s="99">
        <v>2235</v>
      </c>
      <c r="O107" s="99">
        <v>4946</v>
      </c>
      <c r="P107" s="99">
        <v>2600</v>
      </c>
      <c r="Q107" s="99">
        <v>4</v>
      </c>
      <c r="R107" s="20">
        <v>17451</v>
      </c>
      <c r="S107" s="107">
        <v>17451</v>
      </c>
      <c r="T107" s="108"/>
    </row>
    <row r="108" spans="1:20" ht="16.5" customHeight="1" x14ac:dyDescent="0.25">
      <c r="A108" s="97" t="s">
        <v>349</v>
      </c>
      <c r="B108" s="105" t="s">
        <v>359</v>
      </c>
      <c r="C108" s="105" t="s">
        <v>281</v>
      </c>
      <c r="D108" s="40" t="s">
        <v>141</v>
      </c>
      <c r="E108" s="37">
        <v>39577</v>
      </c>
      <c r="F108" s="106">
        <v>8966</v>
      </c>
      <c r="G108" s="99">
        <v>4396</v>
      </c>
      <c r="H108" s="99">
        <v>3258</v>
      </c>
      <c r="I108" s="99">
        <v>14654</v>
      </c>
      <c r="J108" s="99">
        <v>21987</v>
      </c>
      <c r="K108" s="99">
        <v>4950</v>
      </c>
      <c r="L108" s="100">
        <v>5977</v>
      </c>
      <c r="M108" s="99">
        <v>20431</v>
      </c>
      <c r="N108" s="99">
        <v>2282</v>
      </c>
      <c r="O108" s="99">
        <v>4950</v>
      </c>
      <c r="P108" s="99">
        <v>3177</v>
      </c>
      <c r="Q108" s="99">
        <v>11</v>
      </c>
      <c r="R108" s="20">
        <v>21987</v>
      </c>
      <c r="S108" s="107">
        <v>21987</v>
      </c>
      <c r="T108" s="108"/>
    </row>
    <row r="109" spans="1:20" ht="16.5" customHeight="1" x14ac:dyDescent="0.25">
      <c r="A109" s="97" t="s">
        <v>349</v>
      </c>
      <c r="B109" s="105" t="s">
        <v>359</v>
      </c>
      <c r="C109" s="105" t="s">
        <v>337</v>
      </c>
      <c r="D109" s="40" t="s">
        <v>197</v>
      </c>
      <c r="E109" s="37">
        <v>28474</v>
      </c>
      <c r="F109" s="106">
        <v>3513</v>
      </c>
      <c r="G109" s="99">
        <v>3092</v>
      </c>
      <c r="H109" s="99">
        <v>2303</v>
      </c>
      <c r="I109" s="99">
        <v>11412</v>
      </c>
      <c r="J109" s="99">
        <v>21446</v>
      </c>
      <c r="K109" s="99">
        <v>2308</v>
      </c>
      <c r="L109" s="100">
        <v>15000</v>
      </c>
      <c r="M109" s="99">
        <v>8807</v>
      </c>
      <c r="N109" s="99">
        <v>1171</v>
      </c>
      <c r="O109" s="99">
        <v>2308</v>
      </c>
      <c r="P109" s="99">
        <v>2273</v>
      </c>
      <c r="Q109" s="99">
        <v>0</v>
      </c>
      <c r="R109" s="20">
        <v>21446</v>
      </c>
      <c r="S109" s="107">
        <v>21446</v>
      </c>
      <c r="T109" s="108"/>
    </row>
    <row r="110" spans="1:20" ht="16.5" customHeight="1" x14ac:dyDescent="0.25">
      <c r="A110" s="97" t="s">
        <v>342</v>
      </c>
      <c r="B110" s="105" t="s">
        <v>352</v>
      </c>
      <c r="C110" s="105" t="s">
        <v>271</v>
      </c>
      <c r="D110" s="40" t="s">
        <v>131</v>
      </c>
      <c r="E110" s="37">
        <v>155299</v>
      </c>
      <c r="F110" s="106">
        <v>28808</v>
      </c>
      <c r="G110" s="99">
        <v>17671</v>
      </c>
      <c r="H110" s="99">
        <v>12977</v>
      </c>
      <c r="I110" s="99">
        <v>99595</v>
      </c>
      <c r="J110" s="99">
        <v>78424</v>
      </c>
      <c r="K110" s="99">
        <v>28837</v>
      </c>
      <c r="L110" s="100">
        <v>70344</v>
      </c>
      <c r="M110" s="99">
        <v>78324</v>
      </c>
      <c r="N110" s="99">
        <v>8314</v>
      </c>
      <c r="O110" s="99">
        <v>28837</v>
      </c>
      <c r="P110" s="99">
        <v>12721</v>
      </c>
      <c r="Q110" s="99">
        <v>1623</v>
      </c>
      <c r="R110" s="20">
        <v>99595</v>
      </c>
      <c r="S110" s="107">
        <v>99595</v>
      </c>
      <c r="T110" s="108"/>
    </row>
    <row r="111" spans="1:20" ht="16.5" customHeight="1" x14ac:dyDescent="0.25">
      <c r="A111" s="86" t="s">
        <v>342</v>
      </c>
      <c r="B111" s="65" t="s">
        <v>352</v>
      </c>
      <c r="C111" s="87" t="s">
        <v>202</v>
      </c>
      <c r="D111" s="87" t="s">
        <v>62</v>
      </c>
      <c r="E111" s="37">
        <v>47470</v>
      </c>
      <c r="F111" s="88">
        <v>13875</v>
      </c>
      <c r="G111" s="66">
        <v>6042</v>
      </c>
      <c r="H111" s="66">
        <v>3909</v>
      </c>
      <c r="I111" s="66">
        <v>22574</v>
      </c>
      <c r="J111" s="99">
        <v>31057</v>
      </c>
      <c r="K111" s="66">
        <v>5410</v>
      </c>
      <c r="L111" s="100">
        <v>17875</v>
      </c>
      <c r="M111" s="99">
        <v>42779</v>
      </c>
      <c r="N111" s="66">
        <v>3289</v>
      </c>
      <c r="O111" s="66">
        <v>5410</v>
      </c>
      <c r="P111" s="66">
        <v>3839</v>
      </c>
      <c r="Q111" s="99">
        <v>79</v>
      </c>
      <c r="R111" s="67">
        <v>42779</v>
      </c>
      <c r="S111" s="89">
        <v>31057</v>
      </c>
      <c r="T111" s="90"/>
    </row>
    <row r="112" spans="1:20" ht="16.5" customHeight="1" x14ac:dyDescent="0.25">
      <c r="A112" s="97" t="s">
        <v>342</v>
      </c>
      <c r="B112" s="105" t="s">
        <v>352</v>
      </c>
      <c r="C112" s="105" t="s">
        <v>224</v>
      </c>
      <c r="D112" s="40" t="s">
        <v>84</v>
      </c>
      <c r="E112" s="37">
        <v>10653</v>
      </c>
      <c r="F112" s="106">
        <v>2880</v>
      </c>
      <c r="G112" s="99">
        <v>1229</v>
      </c>
      <c r="H112" s="99">
        <v>882</v>
      </c>
      <c r="I112" s="99">
        <v>5159</v>
      </c>
      <c r="J112" s="99">
        <v>6836</v>
      </c>
      <c r="K112" s="99">
        <v>1427</v>
      </c>
      <c r="L112" s="100">
        <v>1920</v>
      </c>
      <c r="M112" s="99">
        <v>6851</v>
      </c>
      <c r="N112" s="99">
        <v>960</v>
      </c>
      <c r="O112" s="99">
        <v>1427</v>
      </c>
      <c r="P112" s="99">
        <v>0</v>
      </c>
      <c r="Q112" s="99">
        <v>230</v>
      </c>
      <c r="R112" s="20">
        <v>6851</v>
      </c>
      <c r="S112" s="107">
        <v>6851</v>
      </c>
      <c r="T112" s="108"/>
    </row>
    <row r="113" spans="1:20" ht="16.5" customHeight="1" x14ac:dyDescent="0.25">
      <c r="A113" s="97" t="s">
        <v>342</v>
      </c>
      <c r="B113" s="105" t="s">
        <v>352</v>
      </c>
      <c r="C113" s="105" t="s">
        <v>296</v>
      </c>
      <c r="D113" s="40" t="s">
        <v>156</v>
      </c>
      <c r="E113" s="37">
        <v>36686</v>
      </c>
      <c r="F113" s="106">
        <v>7668</v>
      </c>
      <c r="G113" s="99">
        <v>4372</v>
      </c>
      <c r="H113" s="99">
        <v>3020</v>
      </c>
      <c r="I113" s="99">
        <v>19590</v>
      </c>
      <c r="J113" s="99">
        <v>19423</v>
      </c>
      <c r="K113" s="99">
        <v>5109</v>
      </c>
      <c r="L113" s="100">
        <v>15787</v>
      </c>
      <c r="M113" s="99">
        <v>20866</v>
      </c>
      <c r="N113" s="99">
        <v>1067</v>
      </c>
      <c r="O113" s="99">
        <v>5109</v>
      </c>
      <c r="P113" s="99">
        <v>2965</v>
      </c>
      <c r="Q113" s="99">
        <v>4</v>
      </c>
      <c r="R113" s="20">
        <v>20866</v>
      </c>
      <c r="S113" s="107">
        <v>20866</v>
      </c>
      <c r="T113" s="108"/>
    </row>
    <row r="114" spans="1:20" ht="16.5" customHeight="1" x14ac:dyDescent="0.25">
      <c r="A114" s="97" t="s">
        <v>342</v>
      </c>
      <c r="B114" s="105" t="s">
        <v>352</v>
      </c>
      <c r="C114" s="105" t="s">
        <v>238</v>
      </c>
      <c r="D114" s="40" t="s">
        <v>98</v>
      </c>
      <c r="E114" s="37">
        <v>35368</v>
      </c>
      <c r="F114" s="106">
        <v>12750</v>
      </c>
      <c r="G114" s="99">
        <v>4279</v>
      </c>
      <c r="H114" s="99">
        <v>2926</v>
      </c>
      <c r="I114" s="99">
        <v>17295</v>
      </c>
      <c r="J114" s="99">
        <v>26838</v>
      </c>
      <c r="K114" s="99">
        <v>7036</v>
      </c>
      <c r="L114" s="100">
        <v>15000</v>
      </c>
      <c r="M114" s="99">
        <v>29090</v>
      </c>
      <c r="N114" s="99">
        <v>3378</v>
      </c>
      <c r="O114" s="99">
        <v>7036</v>
      </c>
      <c r="P114" s="99">
        <v>2933</v>
      </c>
      <c r="Q114" s="99">
        <v>187</v>
      </c>
      <c r="R114" s="20">
        <v>29090</v>
      </c>
      <c r="S114" s="107">
        <v>29090</v>
      </c>
      <c r="T114" s="108"/>
    </row>
    <row r="115" spans="1:20" ht="16.5" customHeight="1" x14ac:dyDescent="0.25">
      <c r="A115" s="97" t="s">
        <v>342</v>
      </c>
      <c r="B115" s="105" t="s">
        <v>352</v>
      </c>
      <c r="C115" s="105" t="s">
        <v>208</v>
      </c>
      <c r="D115" s="40" t="s">
        <v>68</v>
      </c>
      <c r="E115" s="37">
        <v>49099</v>
      </c>
      <c r="F115" s="106">
        <v>18195</v>
      </c>
      <c r="G115" s="99">
        <v>5931</v>
      </c>
      <c r="H115" s="99">
        <v>4057</v>
      </c>
      <c r="I115" s="99">
        <v>22208</v>
      </c>
      <c r="J115" s="99">
        <v>39854</v>
      </c>
      <c r="K115" s="99">
        <v>6508</v>
      </c>
      <c r="L115" s="100">
        <v>27128</v>
      </c>
      <c r="M115" s="99">
        <v>40952</v>
      </c>
      <c r="N115" s="99">
        <v>4938</v>
      </c>
      <c r="O115" s="99">
        <v>6508</v>
      </c>
      <c r="P115" s="99">
        <v>3976</v>
      </c>
      <c r="Q115" s="99">
        <v>639</v>
      </c>
      <c r="R115" s="20">
        <v>40952</v>
      </c>
      <c r="S115" s="107">
        <v>40952</v>
      </c>
      <c r="T115" s="108"/>
    </row>
    <row r="116" spans="1:20" ht="16.5" customHeight="1" x14ac:dyDescent="0.25">
      <c r="A116" s="97" t="s">
        <v>342</v>
      </c>
      <c r="B116" s="105" t="s">
        <v>352</v>
      </c>
      <c r="C116" s="105" t="s">
        <v>248</v>
      </c>
      <c r="D116" s="40" t="s">
        <v>108</v>
      </c>
      <c r="E116" s="37">
        <v>41207</v>
      </c>
      <c r="F116" s="106">
        <v>2985</v>
      </c>
      <c r="G116" s="99">
        <v>4815</v>
      </c>
      <c r="H116" s="99">
        <v>3341</v>
      </c>
      <c r="I116" s="99">
        <v>23216</v>
      </c>
      <c r="J116" s="99">
        <v>13670</v>
      </c>
      <c r="K116" s="99">
        <v>4692</v>
      </c>
      <c r="L116" s="100">
        <v>11936</v>
      </c>
      <c r="M116" s="99">
        <v>12255</v>
      </c>
      <c r="N116" s="99">
        <v>1393</v>
      </c>
      <c r="O116" s="99">
        <v>4692</v>
      </c>
      <c r="P116" s="99">
        <v>3341</v>
      </c>
      <c r="Q116" s="99">
        <v>187</v>
      </c>
      <c r="R116" s="20">
        <v>23216</v>
      </c>
      <c r="S116" s="107">
        <v>23216</v>
      </c>
      <c r="T116" s="108"/>
    </row>
    <row r="117" spans="1:20" ht="16.5" customHeight="1" x14ac:dyDescent="0.25">
      <c r="A117" s="97" t="s">
        <v>342</v>
      </c>
      <c r="B117" s="105" t="s">
        <v>352</v>
      </c>
      <c r="C117" s="105" t="s">
        <v>283</v>
      </c>
      <c r="D117" s="40" t="s">
        <v>143</v>
      </c>
      <c r="E117" s="37">
        <v>24756</v>
      </c>
      <c r="F117" s="106">
        <v>1650</v>
      </c>
      <c r="G117" s="99">
        <v>3062</v>
      </c>
      <c r="H117" s="99">
        <v>1978</v>
      </c>
      <c r="I117" s="99">
        <v>14005</v>
      </c>
      <c r="J117" s="99">
        <v>7971</v>
      </c>
      <c r="K117" s="99">
        <v>2092</v>
      </c>
      <c r="L117" s="100">
        <v>15000</v>
      </c>
      <c r="M117" s="99">
        <v>7163</v>
      </c>
      <c r="N117" s="99">
        <v>550</v>
      </c>
      <c r="O117" s="99">
        <v>2092</v>
      </c>
      <c r="P117" s="99">
        <v>1923</v>
      </c>
      <c r="Q117" s="99">
        <v>83</v>
      </c>
      <c r="R117" s="20">
        <v>15000</v>
      </c>
      <c r="S117" s="107">
        <v>14005</v>
      </c>
      <c r="T117" s="108"/>
    </row>
    <row r="118" spans="1:20" ht="16.5" customHeight="1" x14ac:dyDescent="0.25">
      <c r="A118" s="97" t="s">
        <v>342</v>
      </c>
      <c r="B118" s="105" t="s">
        <v>352</v>
      </c>
      <c r="C118" s="105" t="s">
        <v>243</v>
      </c>
      <c r="D118" s="40" t="s">
        <v>103</v>
      </c>
      <c r="E118" s="37">
        <v>28292</v>
      </c>
      <c r="F118" s="106">
        <v>12600</v>
      </c>
      <c r="G118" s="99">
        <v>3448</v>
      </c>
      <c r="H118" s="99">
        <v>2392</v>
      </c>
      <c r="I118" s="99">
        <v>12051</v>
      </c>
      <c r="J118" s="99">
        <v>24955</v>
      </c>
      <c r="K118" s="99">
        <v>7992</v>
      </c>
      <c r="L118" s="100">
        <v>20726</v>
      </c>
      <c r="M118" s="99">
        <v>32876</v>
      </c>
      <c r="N118" s="99">
        <v>3829</v>
      </c>
      <c r="O118" s="99">
        <v>7992</v>
      </c>
      <c r="P118" s="99">
        <v>2301</v>
      </c>
      <c r="Q118" s="99">
        <v>83</v>
      </c>
      <c r="R118" s="20">
        <v>32876</v>
      </c>
      <c r="S118" s="107">
        <v>24955</v>
      </c>
      <c r="T118" s="108"/>
    </row>
    <row r="119" spans="1:20" ht="16.5" customHeight="1" x14ac:dyDescent="0.25">
      <c r="A119" s="97" t="s">
        <v>342</v>
      </c>
      <c r="B119" s="105" t="s">
        <v>352</v>
      </c>
      <c r="C119" s="105" t="s">
        <v>320</v>
      </c>
      <c r="D119" s="40" t="s">
        <v>180</v>
      </c>
      <c r="E119" s="37">
        <v>41589</v>
      </c>
      <c r="F119" s="106">
        <v>8036</v>
      </c>
      <c r="G119" s="99">
        <v>4898</v>
      </c>
      <c r="H119" s="99">
        <v>3417</v>
      </c>
      <c r="I119" s="99">
        <v>22064</v>
      </c>
      <c r="J119" s="99">
        <v>21046</v>
      </c>
      <c r="K119" s="99">
        <v>6914</v>
      </c>
      <c r="L119" s="100">
        <v>1555</v>
      </c>
      <c r="M119" s="99">
        <v>20423</v>
      </c>
      <c r="N119" s="99">
        <v>2268</v>
      </c>
      <c r="O119" s="99">
        <v>6914</v>
      </c>
      <c r="P119" s="99">
        <v>3328</v>
      </c>
      <c r="Q119" s="99">
        <v>4</v>
      </c>
      <c r="R119" s="20">
        <v>22064</v>
      </c>
      <c r="S119" s="107">
        <v>22064</v>
      </c>
      <c r="T119" s="108"/>
    </row>
    <row r="120" spans="1:20" ht="16.5" customHeight="1" x14ac:dyDescent="0.25">
      <c r="A120" s="97" t="s">
        <v>342</v>
      </c>
      <c r="B120" s="105" t="s">
        <v>352</v>
      </c>
      <c r="C120" s="105" t="s">
        <v>220</v>
      </c>
      <c r="D120" s="40" t="s">
        <v>80</v>
      </c>
      <c r="E120" s="37">
        <v>35380</v>
      </c>
      <c r="F120" s="106">
        <v>5093</v>
      </c>
      <c r="G120" s="99">
        <v>3992</v>
      </c>
      <c r="H120" s="99">
        <v>2892</v>
      </c>
      <c r="I120" s="99">
        <v>20642</v>
      </c>
      <c r="J120" s="99">
        <v>15400</v>
      </c>
      <c r="K120" s="99">
        <v>6183</v>
      </c>
      <c r="L120" s="100">
        <v>20165</v>
      </c>
      <c r="M120" s="99">
        <v>13695</v>
      </c>
      <c r="N120" s="99">
        <v>1698</v>
      </c>
      <c r="O120" s="99">
        <v>6183</v>
      </c>
      <c r="P120" s="99">
        <v>2896</v>
      </c>
      <c r="Q120" s="99">
        <v>79</v>
      </c>
      <c r="R120" s="20">
        <v>20642</v>
      </c>
      <c r="S120" s="107">
        <v>20642</v>
      </c>
      <c r="T120" s="108"/>
    </row>
    <row r="121" spans="1:20" ht="16.5" customHeight="1" x14ac:dyDescent="0.25">
      <c r="A121" s="97" t="s">
        <v>342</v>
      </c>
      <c r="B121" s="105" t="s">
        <v>352</v>
      </c>
      <c r="C121" s="105" t="s">
        <v>300</v>
      </c>
      <c r="D121" s="40" t="s">
        <v>160</v>
      </c>
      <c r="E121" s="37">
        <v>48575</v>
      </c>
      <c r="F121" s="106">
        <v>5045</v>
      </c>
      <c r="G121" s="99">
        <v>5545</v>
      </c>
      <c r="H121" s="99">
        <v>4047</v>
      </c>
      <c r="I121" s="99">
        <v>27962</v>
      </c>
      <c r="J121" s="99">
        <v>18231</v>
      </c>
      <c r="K121" s="99">
        <v>8703</v>
      </c>
      <c r="L121" s="100">
        <v>24221</v>
      </c>
      <c r="M121" s="99">
        <v>18206</v>
      </c>
      <c r="N121" s="99">
        <v>1682</v>
      </c>
      <c r="O121" s="99">
        <v>8703</v>
      </c>
      <c r="P121" s="99">
        <v>3833</v>
      </c>
      <c r="Q121" s="99">
        <v>79</v>
      </c>
      <c r="R121" s="20">
        <v>27962</v>
      </c>
      <c r="S121" s="107">
        <v>27962</v>
      </c>
      <c r="T121" s="108"/>
    </row>
    <row r="122" spans="1:20" ht="16.5" customHeight="1" x14ac:dyDescent="0.25">
      <c r="A122" s="97" t="s">
        <v>344</v>
      </c>
      <c r="B122" s="105" t="s">
        <v>354</v>
      </c>
      <c r="C122" s="105" t="s">
        <v>314</v>
      </c>
      <c r="D122" s="40" t="s">
        <v>174</v>
      </c>
      <c r="E122" s="37">
        <v>210942</v>
      </c>
      <c r="F122" s="106">
        <v>753</v>
      </c>
      <c r="G122" s="99">
        <v>28509</v>
      </c>
      <c r="H122" s="99">
        <v>19072</v>
      </c>
      <c r="I122" s="99">
        <v>138288</v>
      </c>
      <c r="J122" s="99">
        <v>55681</v>
      </c>
      <c r="K122" s="99">
        <v>45987</v>
      </c>
      <c r="L122" s="100">
        <v>60704</v>
      </c>
      <c r="M122" s="99">
        <v>31912</v>
      </c>
      <c r="N122" s="99">
        <v>251</v>
      </c>
      <c r="O122" s="99">
        <v>23584</v>
      </c>
      <c r="P122" s="99">
        <v>45987</v>
      </c>
      <c r="Q122" s="99">
        <v>8159</v>
      </c>
      <c r="R122" s="20">
        <v>138288</v>
      </c>
      <c r="S122" s="107">
        <v>138288</v>
      </c>
      <c r="T122" s="108"/>
    </row>
    <row r="123" spans="1:20" ht="16.5" customHeight="1" x14ac:dyDescent="0.25">
      <c r="A123" s="97" t="s">
        <v>344</v>
      </c>
      <c r="B123" s="105" t="s">
        <v>354</v>
      </c>
      <c r="C123" s="105" t="s">
        <v>276</v>
      </c>
      <c r="D123" s="40" t="s">
        <v>136</v>
      </c>
      <c r="E123" s="37">
        <v>40156</v>
      </c>
      <c r="F123" s="106">
        <v>89</v>
      </c>
      <c r="G123" s="99">
        <v>5630</v>
      </c>
      <c r="H123" s="99">
        <v>3376</v>
      </c>
      <c r="I123" s="99">
        <v>25406</v>
      </c>
      <c r="J123" s="99">
        <v>9726</v>
      </c>
      <c r="K123" s="99">
        <v>5590</v>
      </c>
      <c r="L123" s="100">
        <v>0</v>
      </c>
      <c r="M123" s="99">
        <v>6161</v>
      </c>
      <c r="N123" s="99">
        <v>30</v>
      </c>
      <c r="O123" s="99">
        <v>5590</v>
      </c>
      <c r="P123" s="99">
        <v>3227</v>
      </c>
      <c r="Q123" s="99">
        <v>761</v>
      </c>
      <c r="R123" s="20">
        <v>25406</v>
      </c>
      <c r="S123" s="107">
        <v>25406</v>
      </c>
      <c r="T123" s="108"/>
    </row>
    <row r="124" spans="1:20" ht="16.5" customHeight="1" x14ac:dyDescent="0.25">
      <c r="A124" s="97" t="s">
        <v>344</v>
      </c>
      <c r="B124" s="105" t="s">
        <v>354</v>
      </c>
      <c r="C124" s="105" t="s">
        <v>219</v>
      </c>
      <c r="D124" s="40" t="s">
        <v>79</v>
      </c>
      <c r="E124" s="37">
        <v>65669</v>
      </c>
      <c r="F124" s="106">
        <v>1604</v>
      </c>
      <c r="G124" s="99">
        <v>9110</v>
      </c>
      <c r="H124" s="99">
        <v>5458</v>
      </c>
      <c r="I124" s="99">
        <v>41471</v>
      </c>
      <c r="J124" s="99">
        <v>16993</v>
      </c>
      <c r="K124" s="99">
        <v>14160</v>
      </c>
      <c r="L124" s="100">
        <v>21499</v>
      </c>
      <c r="M124" s="99">
        <v>18530</v>
      </c>
      <c r="N124" s="99">
        <v>962</v>
      </c>
      <c r="O124" s="99">
        <v>6630</v>
      </c>
      <c r="P124" s="99">
        <v>14160</v>
      </c>
      <c r="Q124" s="99">
        <v>172</v>
      </c>
      <c r="R124" s="20">
        <v>41471</v>
      </c>
      <c r="S124" s="107">
        <v>41471</v>
      </c>
      <c r="T124" s="108"/>
    </row>
    <row r="125" spans="1:20" ht="16.5" customHeight="1" x14ac:dyDescent="0.25">
      <c r="A125" s="97" t="s">
        <v>344</v>
      </c>
      <c r="B125" s="105" t="s">
        <v>354</v>
      </c>
      <c r="C125" s="105" t="s">
        <v>239</v>
      </c>
      <c r="D125" s="40" t="s">
        <v>99</v>
      </c>
      <c r="E125" s="37">
        <v>31537</v>
      </c>
      <c r="F125" s="106">
        <v>317</v>
      </c>
      <c r="G125" s="99">
        <v>4486</v>
      </c>
      <c r="H125" s="99">
        <v>2507</v>
      </c>
      <c r="I125" s="99">
        <v>19845</v>
      </c>
      <c r="J125" s="99">
        <v>7503</v>
      </c>
      <c r="K125" s="99">
        <v>2811</v>
      </c>
      <c r="L125" s="100">
        <v>0</v>
      </c>
      <c r="M125" s="99">
        <v>12517</v>
      </c>
      <c r="N125" s="99">
        <v>106</v>
      </c>
      <c r="O125" s="99">
        <v>2811</v>
      </c>
      <c r="P125" s="99">
        <v>2591</v>
      </c>
      <c r="Q125" s="99">
        <v>97</v>
      </c>
      <c r="R125" s="20">
        <v>19845</v>
      </c>
      <c r="S125" s="107">
        <v>19845</v>
      </c>
      <c r="T125" s="108"/>
    </row>
    <row r="126" spans="1:20" ht="16.5" customHeight="1" x14ac:dyDescent="0.25">
      <c r="A126" s="97" t="s">
        <v>344</v>
      </c>
      <c r="B126" s="105" t="s">
        <v>354</v>
      </c>
      <c r="C126" s="105" t="s">
        <v>321</v>
      </c>
      <c r="D126" s="40" t="s">
        <v>181</v>
      </c>
      <c r="E126" s="37">
        <v>120555</v>
      </c>
      <c r="F126" s="106">
        <v>3452</v>
      </c>
      <c r="G126" s="99">
        <v>16335</v>
      </c>
      <c r="H126" s="99">
        <v>10003</v>
      </c>
      <c r="I126" s="99">
        <v>76052</v>
      </c>
      <c r="J126" s="99">
        <v>35236</v>
      </c>
      <c r="K126" s="99">
        <v>26366</v>
      </c>
      <c r="L126" s="100">
        <v>56353</v>
      </c>
      <c r="M126" s="99">
        <v>34976</v>
      </c>
      <c r="N126" s="99">
        <v>1151</v>
      </c>
      <c r="O126" s="99">
        <v>11067</v>
      </c>
      <c r="P126" s="99">
        <v>26366</v>
      </c>
      <c r="Q126" s="99">
        <v>1495</v>
      </c>
      <c r="R126" s="20">
        <v>76052</v>
      </c>
      <c r="S126" s="107">
        <v>76052</v>
      </c>
      <c r="T126" s="108"/>
    </row>
    <row r="127" spans="1:20" ht="16.5" customHeight="1" x14ac:dyDescent="0.25">
      <c r="A127" s="86" t="s">
        <v>344</v>
      </c>
      <c r="B127" s="65" t="s">
        <v>354</v>
      </c>
      <c r="C127" s="87" t="s">
        <v>204</v>
      </c>
      <c r="D127" s="40" t="s">
        <v>64</v>
      </c>
      <c r="E127" s="37">
        <v>31659</v>
      </c>
      <c r="F127" s="88">
        <v>1100</v>
      </c>
      <c r="G127" s="66">
        <v>4533</v>
      </c>
      <c r="H127" s="66">
        <v>2482</v>
      </c>
      <c r="I127" s="66">
        <v>19751</v>
      </c>
      <c r="J127" s="99">
        <v>9267</v>
      </c>
      <c r="K127" s="66">
        <v>6805</v>
      </c>
      <c r="L127" s="100">
        <v>7732</v>
      </c>
      <c r="M127" s="99">
        <v>47186</v>
      </c>
      <c r="N127" s="66">
        <v>367</v>
      </c>
      <c r="O127" s="66">
        <v>2316</v>
      </c>
      <c r="P127" s="66">
        <v>6805</v>
      </c>
      <c r="Q127" s="99">
        <v>674</v>
      </c>
      <c r="R127" s="20">
        <v>47186</v>
      </c>
      <c r="S127" s="89">
        <v>19751</v>
      </c>
      <c r="T127" s="90"/>
    </row>
    <row r="128" spans="1:20" ht="16.5" customHeight="1" x14ac:dyDescent="0.25">
      <c r="A128" s="97" t="s">
        <v>344</v>
      </c>
      <c r="B128" s="105" t="s">
        <v>354</v>
      </c>
      <c r="C128" s="105" t="s">
        <v>293</v>
      </c>
      <c r="D128" s="40" t="s">
        <v>153</v>
      </c>
      <c r="E128" s="37">
        <v>36005</v>
      </c>
      <c r="F128" s="106">
        <v>1580</v>
      </c>
      <c r="G128" s="99">
        <v>5113</v>
      </c>
      <c r="H128" s="99">
        <v>2795</v>
      </c>
      <c r="I128" s="99">
        <v>22134</v>
      </c>
      <c r="J128" s="99">
        <v>10452</v>
      </c>
      <c r="K128" s="99">
        <v>3707</v>
      </c>
      <c r="L128" s="100">
        <v>20302</v>
      </c>
      <c r="M128" s="99">
        <v>7360</v>
      </c>
      <c r="N128" s="99">
        <v>527</v>
      </c>
      <c r="O128" s="99">
        <v>3707</v>
      </c>
      <c r="P128" s="99">
        <v>2858</v>
      </c>
      <c r="Q128" s="99">
        <v>193</v>
      </c>
      <c r="R128" s="20">
        <v>22134</v>
      </c>
      <c r="S128" s="107">
        <v>22134</v>
      </c>
      <c r="T128" s="108"/>
    </row>
    <row r="129" spans="1:20" ht="16.5" customHeight="1" x14ac:dyDescent="0.25">
      <c r="A129" s="97" t="s">
        <v>344</v>
      </c>
      <c r="B129" s="105" t="s">
        <v>354</v>
      </c>
      <c r="C129" s="105" t="s">
        <v>215</v>
      </c>
      <c r="D129" s="40" t="s">
        <v>75</v>
      </c>
      <c r="E129" s="37">
        <v>28588</v>
      </c>
      <c r="F129" s="106">
        <v>651</v>
      </c>
      <c r="G129" s="99">
        <v>4215</v>
      </c>
      <c r="H129" s="99">
        <v>2260</v>
      </c>
      <c r="I129" s="99">
        <v>17833</v>
      </c>
      <c r="J129" s="99">
        <v>7339</v>
      </c>
      <c r="K129" s="99">
        <v>3018</v>
      </c>
      <c r="L129" s="100">
        <v>0</v>
      </c>
      <c r="M129" s="99">
        <v>26600</v>
      </c>
      <c r="N129" s="99">
        <v>217</v>
      </c>
      <c r="O129" s="99">
        <v>3018</v>
      </c>
      <c r="P129" s="99">
        <v>2277</v>
      </c>
      <c r="Q129" s="99">
        <v>86</v>
      </c>
      <c r="R129" s="20">
        <v>26600</v>
      </c>
      <c r="S129" s="107">
        <v>17833</v>
      </c>
      <c r="T129" s="108"/>
    </row>
    <row r="130" spans="1:20" ht="16.5" customHeight="1" x14ac:dyDescent="0.25">
      <c r="A130" s="97" t="s">
        <v>344</v>
      </c>
      <c r="B130" s="105" t="s">
        <v>354</v>
      </c>
      <c r="C130" s="105" t="s">
        <v>223</v>
      </c>
      <c r="D130" s="40" t="s">
        <v>83</v>
      </c>
      <c r="E130" s="37">
        <v>37868</v>
      </c>
      <c r="F130" s="106">
        <v>1031</v>
      </c>
      <c r="G130" s="99">
        <v>5444</v>
      </c>
      <c r="H130" s="99">
        <v>2998</v>
      </c>
      <c r="I130" s="99">
        <v>23550</v>
      </c>
      <c r="J130" s="99">
        <v>10032</v>
      </c>
      <c r="K130" s="99">
        <v>3554</v>
      </c>
      <c r="L130" s="100">
        <v>17238</v>
      </c>
      <c r="M130" s="99">
        <v>5377</v>
      </c>
      <c r="N130" s="99">
        <v>344</v>
      </c>
      <c r="O130" s="99">
        <v>3554</v>
      </c>
      <c r="P130" s="99">
        <v>3023</v>
      </c>
      <c r="Q130" s="99">
        <v>176</v>
      </c>
      <c r="R130" s="20">
        <v>23550</v>
      </c>
      <c r="S130" s="107">
        <v>23550</v>
      </c>
      <c r="T130" s="108"/>
    </row>
    <row r="131" spans="1:20" ht="16.5" customHeight="1" x14ac:dyDescent="0.25">
      <c r="A131" s="97" t="s">
        <v>344</v>
      </c>
      <c r="B131" s="105" t="s">
        <v>354</v>
      </c>
      <c r="C131" s="105" t="s">
        <v>270</v>
      </c>
      <c r="D131" s="40" t="s">
        <v>130</v>
      </c>
      <c r="E131" s="37">
        <v>156750</v>
      </c>
      <c r="F131" s="106">
        <v>5364</v>
      </c>
      <c r="G131" s="99">
        <v>21503</v>
      </c>
      <c r="H131" s="99">
        <v>13315</v>
      </c>
      <c r="I131" s="99">
        <v>97012</v>
      </c>
      <c r="J131" s="99">
        <v>43603</v>
      </c>
      <c r="K131" s="99">
        <v>21213</v>
      </c>
      <c r="L131" s="100">
        <v>53924</v>
      </c>
      <c r="M131" s="99">
        <v>18436</v>
      </c>
      <c r="N131" s="99">
        <v>1117</v>
      </c>
      <c r="O131" s="99">
        <v>21213</v>
      </c>
      <c r="P131" s="99">
        <v>12646</v>
      </c>
      <c r="Q131" s="99">
        <v>1179</v>
      </c>
      <c r="R131" s="20">
        <v>97012</v>
      </c>
      <c r="S131" s="107">
        <v>97012</v>
      </c>
      <c r="T131" s="108"/>
    </row>
    <row r="132" spans="1:20" ht="16.5" customHeight="1" x14ac:dyDescent="0.25">
      <c r="A132" s="97" t="s">
        <v>346</v>
      </c>
      <c r="B132" s="105" t="s">
        <v>356</v>
      </c>
      <c r="C132" s="105" t="s">
        <v>291</v>
      </c>
      <c r="D132" s="40" t="s">
        <v>151</v>
      </c>
      <c r="E132" s="37">
        <v>70617</v>
      </c>
      <c r="F132" s="106">
        <v>9461</v>
      </c>
      <c r="G132" s="99">
        <v>4529</v>
      </c>
      <c r="H132" s="99">
        <v>6576</v>
      </c>
      <c r="I132" s="99">
        <v>58834</v>
      </c>
      <c r="J132" s="99">
        <v>30464</v>
      </c>
      <c r="K132" s="99">
        <v>10945</v>
      </c>
      <c r="L132" s="100">
        <v>26578</v>
      </c>
      <c r="M132" s="99">
        <v>34178</v>
      </c>
      <c r="N132" s="99">
        <v>3047</v>
      </c>
      <c r="O132" s="99">
        <v>10945</v>
      </c>
      <c r="P132" s="99">
        <v>5727</v>
      </c>
      <c r="Q132" s="99">
        <v>927</v>
      </c>
      <c r="R132" s="20">
        <v>58834</v>
      </c>
      <c r="S132" s="107">
        <v>58834</v>
      </c>
      <c r="T132" s="108"/>
    </row>
    <row r="133" spans="1:20" ht="16.5" customHeight="1" x14ac:dyDescent="0.25">
      <c r="A133" s="97" t="s">
        <v>346</v>
      </c>
      <c r="B133" s="105" t="s">
        <v>356</v>
      </c>
      <c r="C133" s="105" t="s">
        <v>305</v>
      </c>
      <c r="D133" s="40" t="s">
        <v>165</v>
      </c>
      <c r="E133" s="37">
        <v>34943</v>
      </c>
      <c r="F133" s="106">
        <v>8297</v>
      </c>
      <c r="G133" s="99">
        <v>2633</v>
      </c>
      <c r="H133" s="99">
        <v>2828</v>
      </c>
      <c r="I133" s="99">
        <v>18664</v>
      </c>
      <c r="J133" s="99">
        <v>20282</v>
      </c>
      <c r="K133" s="99">
        <v>5918</v>
      </c>
      <c r="L133" s="100">
        <v>18108</v>
      </c>
      <c r="M133" s="99">
        <v>20136</v>
      </c>
      <c r="N133" s="99">
        <v>1853</v>
      </c>
      <c r="O133" s="99">
        <v>5918</v>
      </c>
      <c r="P133" s="99">
        <v>2826</v>
      </c>
      <c r="Q133" s="99">
        <v>316</v>
      </c>
      <c r="R133" s="20">
        <v>20282</v>
      </c>
      <c r="S133" s="107">
        <v>20282</v>
      </c>
      <c r="T133" s="108"/>
    </row>
    <row r="134" spans="1:20" ht="16.5" customHeight="1" x14ac:dyDescent="0.25">
      <c r="A134" s="97" t="s">
        <v>346</v>
      </c>
      <c r="B134" s="105" t="s">
        <v>356</v>
      </c>
      <c r="C134" s="105" t="s">
        <v>256</v>
      </c>
      <c r="D134" s="40" t="s">
        <v>116</v>
      </c>
      <c r="E134" s="37">
        <v>38319</v>
      </c>
      <c r="F134" s="106">
        <v>5919</v>
      </c>
      <c r="G134" s="99">
        <v>2553</v>
      </c>
      <c r="H134" s="99">
        <v>3208</v>
      </c>
      <c r="I134" s="99">
        <v>21834</v>
      </c>
      <c r="J134" s="99">
        <v>17266</v>
      </c>
      <c r="K134" s="99">
        <v>5878</v>
      </c>
      <c r="L134" s="100">
        <v>17526</v>
      </c>
      <c r="M134" s="99">
        <v>15146</v>
      </c>
      <c r="N134" s="99">
        <v>2416</v>
      </c>
      <c r="O134" s="99">
        <v>5878</v>
      </c>
      <c r="P134" s="99">
        <v>3190</v>
      </c>
      <c r="Q134" s="99">
        <v>75</v>
      </c>
      <c r="R134" s="20">
        <v>21834</v>
      </c>
      <c r="S134" s="107">
        <v>21834</v>
      </c>
      <c r="T134" s="108"/>
    </row>
    <row r="135" spans="1:20" ht="16.5" customHeight="1" x14ac:dyDescent="0.25">
      <c r="A135" s="97" t="s">
        <v>346</v>
      </c>
      <c r="B135" s="105" t="s">
        <v>356</v>
      </c>
      <c r="C135" s="105" t="s">
        <v>298</v>
      </c>
      <c r="D135" s="40" t="s">
        <v>158</v>
      </c>
      <c r="E135" s="37">
        <v>19644</v>
      </c>
      <c r="F135" s="106">
        <v>2721</v>
      </c>
      <c r="G135" s="99">
        <v>1274</v>
      </c>
      <c r="H135" s="99">
        <v>1632</v>
      </c>
      <c r="I135" s="99">
        <v>11329</v>
      </c>
      <c r="J135" s="99">
        <v>8500</v>
      </c>
      <c r="K135" s="99">
        <v>4718</v>
      </c>
      <c r="L135" s="100">
        <v>1814</v>
      </c>
      <c r="M135" s="99">
        <v>7587</v>
      </c>
      <c r="N135" s="99">
        <v>907</v>
      </c>
      <c r="O135" s="99">
        <v>4718</v>
      </c>
      <c r="P135" s="99">
        <v>1654</v>
      </c>
      <c r="Q135" s="99">
        <v>151</v>
      </c>
      <c r="R135" s="20">
        <v>11329</v>
      </c>
      <c r="S135" s="107">
        <v>11329</v>
      </c>
      <c r="T135" s="108"/>
    </row>
    <row r="136" spans="1:20" ht="16.5" customHeight="1" x14ac:dyDescent="0.25">
      <c r="A136" s="97" t="s">
        <v>346</v>
      </c>
      <c r="B136" s="105" t="s">
        <v>356</v>
      </c>
      <c r="C136" s="105" t="s">
        <v>206</v>
      </c>
      <c r="D136" s="40" t="s">
        <v>66</v>
      </c>
      <c r="E136" s="37">
        <v>37907</v>
      </c>
      <c r="F136" s="106">
        <v>3486</v>
      </c>
      <c r="G136" s="99">
        <v>2594</v>
      </c>
      <c r="H136" s="99">
        <v>2953</v>
      </c>
      <c r="I136" s="99">
        <v>22389</v>
      </c>
      <c r="J136" s="99">
        <v>13912</v>
      </c>
      <c r="K136" s="99">
        <v>5803</v>
      </c>
      <c r="L136" s="100">
        <v>15000</v>
      </c>
      <c r="M136" s="99">
        <v>20099</v>
      </c>
      <c r="N136" s="99">
        <v>1162</v>
      </c>
      <c r="O136" s="99">
        <v>5803</v>
      </c>
      <c r="P136" s="99">
        <v>3049</v>
      </c>
      <c r="Q136" s="99">
        <v>413</v>
      </c>
      <c r="R136" s="20">
        <v>22389</v>
      </c>
      <c r="S136" s="107">
        <v>22389</v>
      </c>
      <c r="T136" s="108"/>
    </row>
    <row r="137" spans="1:20" ht="16.5" customHeight="1" x14ac:dyDescent="0.25">
      <c r="A137" s="97" t="s">
        <v>346</v>
      </c>
      <c r="B137" s="105" t="s">
        <v>356</v>
      </c>
      <c r="C137" s="105" t="s">
        <v>303</v>
      </c>
      <c r="D137" s="40" t="s">
        <v>163</v>
      </c>
      <c r="E137" s="37">
        <v>33793</v>
      </c>
      <c r="F137" s="106">
        <v>4421</v>
      </c>
      <c r="G137" s="99">
        <v>2179</v>
      </c>
      <c r="H137" s="99">
        <v>2719</v>
      </c>
      <c r="I137" s="99">
        <v>19603</v>
      </c>
      <c r="J137" s="99">
        <v>14142</v>
      </c>
      <c r="K137" s="99">
        <v>4400</v>
      </c>
      <c r="L137" s="100">
        <v>15000</v>
      </c>
      <c r="M137" s="99">
        <v>15731</v>
      </c>
      <c r="N137" s="99">
        <v>1474</v>
      </c>
      <c r="O137" s="99">
        <v>4400</v>
      </c>
      <c r="P137" s="99">
        <v>2638</v>
      </c>
      <c r="Q137" s="99">
        <v>165</v>
      </c>
      <c r="R137" s="20">
        <v>19603</v>
      </c>
      <c r="S137" s="107">
        <v>19603</v>
      </c>
      <c r="T137" s="108"/>
    </row>
    <row r="138" spans="1:20" ht="16.5" customHeight="1" x14ac:dyDescent="0.25">
      <c r="A138" s="97" t="s">
        <v>346</v>
      </c>
      <c r="B138" s="105" t="s">
        <v>356</v>
      </c>
      <c r="C138" s="105" t="s">
        <v>273</v>
      </c>
      <c r="D138" s="40" t="s">
        <v>133</v>
      </c>
      <c r="E138" s="37">
        <v>45890</v>
      </c>
      <c r="F138" s="106">
        <v>5475</v>
      </c>
      <c r="G138" s="99">
        <v>3442</v>
      </c>
      <c r="H138" s="99">
        <v>3798</v>
      </c>
      <c r="I138" s="99">
        <v>26847</v>
      </c>
      <c r="J138" s="99">
        <v>18289</v>
      </c>
      <c r="K138" s="99">
        <v>5176</v>
      </c>
      <c r="L138" s="100">
        <v>21120</v>
      </c>
      <c r="M138" s="99">
        <v>17919</v>
      </c>
      <c r="N138" s="99">
        <v>1073</v>
      </c>
      <c r="O138" s="99">
        <v>5176</v>
      </c>
      <c r="P138" s="99">
        <v>3710</v>
      </c>
      <c r="Q138" s="99">
        <v>90</v>
      </c>
      <c r="R138" s="20">
        <v>26847</v>
      </c>
      <c r="S138" s="107">
        <v>26847</v>
      </c>
      <c r="T138" s="108"/>
    </row>
    <row r="139" spans="1:20" ht="16.5" customHeight="1" x14ac:dyDescent="0.25">
      <c r="A139" s="97" t="s">
        <v>346</v>
      </c>
      <c r="B139" s="105" t="s">
        <v>356</v>
      </c>
      <c r="C139" s="105" t="s">
        <v>212</v>
      </c>
      <c r="D139" s="40" t="s">
        <v>72</v>
      </c>
      <c r="E139" s="37">
        <v>23479</v>
      </c>
      <c r="F139" s="106">
        <v>3252</v>
      </c>
      <c r="G139" s="99">
        <v>1622</v>
      </c>
      <c r="H139" s="99">
        <v>2246</v>
      </c>
      <c r="I139" s="99">
        <v>13542</v>
      </c>
      <c r="J139" s="99">
        <v>10054</v>
      </c>
      <c r="K139" s="99">
        <v>3988</v>
      </c>
      <c r="L139" s="100">
        <v>13998</v>
      </c>
      <c r="M139" s="99">
        <v>10097</v>
      </c>
      <c r="N139" s="99">
        <v>1084</v>
      </c>
      <c r="O139" s="99">
        <v>3988</v>
      </c>
      <c r="P139" s="99">
        <v>1877</v>
      </c>
      <c r="Q139" s="99">
        <v>75</v>
      </c>
      <c r="R139" s="20">
        <v>13998</v>
      </c>
      <c r="S139" s="107">
        <v>13998</v>
      </c>
      <c r="T139" s="108"/>
    </row>
    <row r="140" spans="1:20" ht="16.5" customHeight="1" x14ac:dyDescent="0.25">
      <c r="A140" s="97" t="s">
        <v>346</v>
      </c>
      <c r="B140" s="105" t="s">
        <v>356</v>
      </c>
      <c r="C140" s="105" t="s">
        <v>310</v>
      </c>
      <c r="D140" s="40" t="s">
        <v>170</v>
      </c>
      <c r="E140" s="37">
        <v>32168</v>
      </c>
      <c r="F140" s="106">
        <v>6186</v>
      </c>
      <c r="G140" s="99">
        <v>1885</v>
      </c>
      <c r="H140" s="99">
        <v>2652</v>
      </c>
      <c r="I140" s="99">
        <v>17809</v>
      </c>
      <c r="J140" s="99">
        <v>16387</v>
      </c>
      <c r="K140" s="99">
        <v>3641</v>
      </c>
      <c r="L140" s="100">
        <v>15000</v>
      </c>
      <c r="M140" s="99">
        <v>14854</v>
      </c>
      <c r="N140" s="99">
        <v>1828</v>
      </c>
      <c r="O140" s="99">
        <v>3641</v>
      </c>
      <c r="P140" s="99">
        <v>2537</v>
      </c>
      <c r="Q140" s="99">
        <v>154</v>
      </c>
      <c r="R140" s="20">
        <v>17809</v>
      </c>
      <c r="S140" s="107">
        <v>17809</v>
      </c>
      <c r="T140" s="108"/>
    </row>
    <row r="141" spans="1:20" ht="16.5" customHeight="1" x14ac:dyDescent="0.25">
      <c r="A141" s="97" t="s">
        <v>346</v>
      </c>
      <c r="B141" s="105" t="s">
        <v>356</v>
      </c>
      <c r="C141" s="105" t="s">
        <v>217</v>
      </c>
      <c r="D141" s="40" t="s">
        <v>77</v>
      </c>
      <c r="E141" s="37">
        <v>45622</v>
      </c>
      <c r="F141" s="106">
        <v>4829</v>
      </c>
      <c r="G141" s="99">
        <v>3200</v>
      </c>
      <c r="H141" s="99">
        <v>3574</v>
      </c>
      <c r="I141" s="99">
        <v>26960</v>
      </c>
      <c r="J141" s="99">
        <v>17492</v>
      </c>
      <c r="K141" s="99">
        <v>4338</v>
      </c>
      <c r="L141" s="100">
        <v>13251</v>
      </c>
      <c r="M141" s="99">
        <v>25457</v>
      </c>
      <c r="N141" s="99">
        <v>1610</v>
      </c>
      <c r="O141" s="99">
        <v>4338</v>
      </c>
      <c r="P141" s="99">
        <v>3574</v>
      </c>
      <c r="Q141" s="99">
        <v>309</v>
      </c>
      <c r="R141" s="20">
        <v>26960</v>
      </c>
      <c r="S141" s="107">
        <v>26960</v>
      </c>
      <c r="T141" s="108"/>
    </row>
    <row r="142" spans="1:20" ht="16.5" customHeight="1" x14ac:dyDescent="0.25">
      <c r="A142" s="97" t="s">
        <v>346</v>
      </c>
      <c r="B142" s="105" t="s">
        <v>356</v>
      </c>
      <c r="C142" s="105" t="s">
        <v>260</v>
      </c>
      <c r="D142" s="40" t="s">
        <v>120</v>
      </c>
      <c r="E142" s="37">
        <v>6460</v>
      </c>
      <c r="F142" s="106">
        <v>720</v>
      </c>
      <c r="G142" s="99">
        <v>476</v>
      </c>
      <c r="H142" s="99">
        <v>524</v>
      </c>
      <c r="I142" s="99">
        <v>4303</v>
      </c>
      <c r="J142" s="99">
        <v>2713</v>
      </c>
      <c r="K142" s="99">
        <v>616</v>
      </c>
      <c r="L142" s="100">
        <v>3738</v>
      </c>
      <c r="M142" s="99">
        <v>2355</v>
      </c>
      <c r="N142" s="99">
        <v>240</v>
      </c>
      <c r="O142" s="99">
        <v>616</v>
      </c>
      <c r="P142" s="99">
        <v>514</v>
      </c>
      <c r="Q142" s="99">
        <v>226</v>
      </c>
      <c r="R142" s="20">
        <v>4303</v>
      </c>
      <c r="S142" s="107">
        <v>4303</v>
      </c>
      <c r="T142" s="108"/>
    </row>
  </sheetData>
  <mergeCells count="3">
    <mergeCell ref="A1:D1"/>
    <mergeCell ref="F1:M1"/>
    <mergeCell ref="N1:Q1"/>
  </mergeCells>
  <phoneticPr fontId="9" type="noConversion"/>
  <conditionalFormatting sqref="R3:R142">
    <cfRule type="containsText" dxfId="1" priority="4" operator="containsText" text="Flagged">
      <formula>NOT(ISERROR(SEARCH("Flagged",R3)))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83003-12C3-4852-B30E-5B980E3C4427}">
  <sheetPr codeName="Sheet7">
    <tabColor rgb="FFBDD7EE"/>
  </sheetPr>
  <dimension ref="A1:AE142"/>
  <sheetViews>
    <sheetView showGridLines="0" zoomScaleNormal="100" workbookViewId="0">
      <selection sqref="A1:D1"/>
    </sheetView>
  </sheetViews>
  <sheetFormatPr defaultColWidth="8.5703125" defaultRowHeight="15" customHeight="1" x14ac:dyDescent="0.25"/>
  <cols>
    <col min="1" max="1" width="18.28515625" style="2" customWidth="1"/>
    <col min="2" max="2" width="16.85546875" style="2" customWidth="1"/>
    <col min="3" max="3" width="24.28515625" style="2" bestFit="1" customWidth="1"/>
    <col min="4" max="4" width="17.85546875" style="2" customWidth="1"/>
    <col min="5" max="5" width="11.5703125" style="3" customWidth="1"/>
    <col min="6" max="6" width="20.42578125" style="7" customWidth="1"/>
    <col min="7" max="10" width="13.140625" style="3" customWidth="1"/>
    <col min="11" max="11" width="15.28515625" customWidth="1"/>
    <col min="12" max="12" width="13" customWidth="1"/>
    <col min="13" max="13" width="13.5703125" customWidth="1"/>
    <col min="14" max="15" width="14.5703125" customWidth="1"/>
    <col min="16" max="17" width="13.140625" style="3" customWidth="1"/>
    <col min="18" max="18" width="20.5703125" style="3" customWidth="1"/>
    <col min="19" max="19" width="10.42578125" style="3" customWidth="1"/>
    <col min="20" max="20" width="12.5703125" style="3" customWidth="1"/>
    <col min="21" max="21" width="11.28515625" style="3" customWidth="1"/>
    <col min="22" max="23" width="16" customWidth="1"/>
    <col min="24" max="24" width="21.140625" style="7" customWidth="1"/>
    <col min="25" max="25" width="22.28515625" bestFit="1" customWidth="1"/>
    <col min="26" max="26" width="23.5703125" style="3" customWidth="1"/>
    <col min="27" max="28" width="19" style="36" customWidth="1"/>
    <col min="29" max="29" width="22.85546875" style="36" customWidth="1"/>
    <col min="30" max="31" width="19" style="47" customWidth="1"/>
    <col min="32" max="34" width="25.85546875" customWidth="1"/>
    <col min="35" max="35" width="38.5703125" customWidth="1"/>
    <col min="36" max="36" width="57.28515625" customWidth="1"/>
    <col min="37" max="37" width="25.42578125" customWidth="1"/>
    <col min="38" max="38" width="27.28515625" customWidth="1"/>
    <col min="39" max="39" width="22.140625" customWidth="1"/>
    <col min="40" max="40" width="16" customWidth="1"/>
    <col min="41" max="41" width="11.140625" customWidth="1"/>
    <col min="42" max="42" width="12.5703125" customWidth="1"/>
    <col min="43" max="43" width="20" bestFit="1" customWidth="1"/>
    <col min="44" max="44" width="46.140625" customWidth="1"/>
  </cols>
  <sheetData>
    <row r="1" spans="1:31" ht="50.45" customHeight="1" thickTop="1" thickBot="1" x14ac:dyDescent="0.3">
      <c r="A1" s="140" t="s">
        <v>1</v>
      </c>
      <c r="B1" s="141"/>
      <c r="C1" s="141"/>
      <c r="D1" s="141"/>
      <c r="E1" s="130" t="s">
        <v>2</v>
      </c>
      <c r="F1" s="48"/>
      <c r="G1" s="49"/>
      <c r="H1" s="49"/>
      <c r="I1" s="48"/>
      <c r="J1" s="48"/>
      <c r="K1" s="49"/>
      <c r="L1" s="49"/>
      <c r="M1" s="48"/>
      <c r="N1" s="49"/>
      <c r="O1" s="49"/>
      <c r="P1" s="49"/>
      <c r="Q1" s="48"/>
      <c r="R1" s="51"/>
      <c r="S1" s="137" t="s">
        <v>50</v>
      </c>
      <c r="T1" s="138"/>
      <c r="U1" s="139"/>
      <c r="V1" s="142" t="s">
        <v>51</v>
      </c>
      <c r="W1" s="143"/>
      <c r="X1" s="135" t="s">
        <v>52</v>
      </c>
      <c r="Y1" s="136"/>
      <c r="Z1"/>
      <c r="AA1"/>
      <c r="AB1"/>
      <c r="AC1"/>
      <c r="AD1"/>
      <c r="AE1"/>
    </row>
    <row r="2" spans="1:31" ht="93.75" customHeight="1" thickTop="1" thickBot="1" x14ac:dyDescent="0.3">
      <c r="A2" s="16" t="s">
        <v>5</v>
      </c>
      <c r="B2" s="17" t="s">
        <v>6</v>
      </c>
      <c r="C2" s="17" t="s">
        <v>7</v>
      </c>
      <c r="D2" s="17" t="s">
        <v>8</v>
      </c>
      <c r="E2" s="59" t="s">
        <v>9</v>
      </c>
      <c r="F2" s="44" t="s">
        <v>10</v>
      </c>
      <c r="G2" s="45" t="s">
        <v>0</v>
      </c>
      <c r="H2" s="45" t="s">
        <v>11</v>
      </c>
      <c r="I2" s="45" t="s">
        <v>12</v>
      </c>
      <c r="J2" s="45" t="s">
        <v>13</v>
      </c>
      <c r="K2" s="45" t="s">
        <v>14</v>
      </c>
      <c r="L2" s="45" t="s">
        <v>15</v>
      </c>
      <c r="M2" s="46" t="s">
        <v>16</v>
      </c>
      <c r="N2" s="54" t="s">
        <v>364</v>
      </c>
      <c r="O2" s="54" t="s">
        <v>53</v>
      </c>
      <c r="P2" s="54" t="s">
        <v>54</v>
      </c>
      <c r="Q2" s="127" t="s">
        <v>362</v>
      </c>
      <c r="R2" s="52" t="s">
        <v>55</v>
      </c>
      <c r="S2" s="62" t="s">
        <v>56</v>
      </c>
      <c r="T2" s="63" t="s">
        <v>57</v>
      </c>
      <c r="U2" s="64" t="s">
        <v>58</v>
      </c>
      <c r="V2" s="50" t="s">
        <v>59</v>
      </c>
      <c r="W2" s="96" t="s">
        <v>60</v>
      </c>
      <c r="X2" s="60" t="s">
        <v>61</v>
      </c>
      <c r="Y2" s="61" t="s">
        <v>21</v>
      </c>
      <c r="Z2"/>
      <c r="AA2"/>
      <c r="AB2"/>
      <c r="AC2"/>
      <c r="AD2"/>
      <c r="AE2"/>
    </row>
    <row r="3" spans="1:31" ht="15.75" thickTop="1" x14ac:dyDescent="0.25">
      <c r="A3" s="12" t="s">
        <v>347</v>
      </c>
      <c r="B3" s="9" t="s">
        <v>357</v>
      </c>
      <c r="C3" s="9" t="s">
        <v>313</v>
      </c>
      <c r="D3" s="9" t="s">
        <v>173</v>
      </c>
      <c r="E3" s="37">
        <v>926906</v>
      </c>
      <c r="F3" s="14">
        <v>4</v>
      </c>
      <c r="G3" s="128">
        <v>4</v>
      </c>
      <c r="H3" s="8">
        <v>2</v>
      </c>
      <c r="I3" s="8">
        <v>4</v>
      </c>
      <c r="J3" s="8">
        <v>4</v>
      </c>
      <c r="K3" s="8">
        <v>4</v>
      </c>
      <c r="L3" s="10">
        <v>4</v>
      </c>
      <c r="M3" s="13">
        <v>2</v>
      </c>
      <c r="N3" s="8">
        <v>4</v>
      </c>
      <c r="O3" s="8">
        <v>4</v>
      </c>
      <c r="P3" s="8">
        <v>4</v>
      </c>
      <c r="Q3" s="8">
        <v>4</v>
      </c>
      <c r="R3" s="20">
        <v>4</v>
      </c>
      <c r="S3" s="32" t="str">
        <f>IFERROR(IF(INDEX(#REF!,MATCH(#REF!,#REF!, 0))= "", "",INDEX(#REF!,MATCH(#REF!,#REF!, 0)) ), "")</f>
        <v/>
      </c>
      <c r="T3" s="8" t="str">
        <f>IFERROR(IF(INDEX(#REF!,MATCH(#REF!,#REF!, 0))= "", "",INDEX(#REF!,MATCH(#REF!,#REF!, 0)) ), "")</f>
        <v/>
      </c>
      <c r="U3" s="13" t="str">
        <f>IFERROR(IF(INDEX(#REF!,MATCH(#REF!,#REF!, 0))= "", "",INDEX(#REF!,MATCH(#REF!,#REF!, 0)) ), "")</f>
        <v/>
      </c>
      <c r="V3" s="35" t="str">
        <f>IFERROR(IF(INDEX(#REF!,MATCH(#REF!,#REF!, 0))= "", "",INDEX(#REF!,MATCH(#REF!,#REF!, 0)) ), "")</f>
        <v/>
      </c>
      <c r="W3" s="35" t="str">
        <f>IFERROR(IF(INDEX(#REF!,MATCH(#REF!,#REF!, 0))= "", "",INDEX(#REF!,MATCH(#REF!,#REF!, 0)) ), "")</f>
        <v/>
      </c>
      <c r="X3" s="15">
        <v>5</v>
      </c>
      <c r="Y3" s="21"/>
      <c r="Z3"/>
      <c r="AA3"/>
      <c r="AB3"/>
      <c r="AC3"/>
      <c r="AD3"/>
      <c r="AE3"/>
    </row>
    <row r="4" spans="1:31" x14ac:dyDescent="0.25">
      <c r="A4" s="12" t="s">
        <v>347</v>
      </c>
      <c r="B4" s="9" t="s">
        <v>357</v>
      </c>
      <c r="C4" s="9" t="s">
        <v>249</v>
      </c>
      <c r="D4" s="9" t="s">
        <v>109</v>
      </c>
      <c r="E4" s="37">
        <v>435779</v>
      </c>
      <c r="F4" s="14">
        <v>4</v>
      </c>
      <c r="G4" s="128">
        <v>3</v>
      </c>
      <c r="H4" s="8">
        <v>4</v>
      </c>
      <c r="I4" s="8">
        <v>4</v>
      </c>
      <c r="J4" s="8">
        <v>3</v>
      </c>
      <c r="K4" s="8">
        <v>5</v>
      </c>
      <c r="L4" s="10">
        <v>4</v>
      </c>
      <c r="M4" s="13">
        <v>3</v>
      </c>
      <c r="N4" s="8">
        <v>5</v>
      </c>
      <c r="O4" s="8">
        <v>4</v>
      </c>
      <c r="P4" s="8">
        <v>4</v>
      </c>
      <c r="Q4" s="8">
        <v>3</v>
      </c>
      <c r="R4" s="20">
        <v>4</v>
      </c>
      <c r="S4" s="32" t="str">
        <f>IFERROR(IF(INDEX(#REF!,MATCH(#REF!,#REF!, 0))= "", "",INDEX(#REF!,MATCH(#REF!,#REF!, 0)) ), "")</f>
        <v/>
      </c>
      <c r="T4" s="8" t="str">
        <f>IFERROR(IF(INDEX(#REF!,MATCH(#REF!,#REF!, 0))= "", "",INDEX(#REF!,MATCH(#REF!,#REF!, 0)) ), "")</f>
        <v/>
      </c>
      <c r="U4" s="13" t="str">
        <f>IFERROR(IF(INDEX(#REF!,MATCH(#REF!,#REF!, 0))= "", "",INDEX(#REF!,MATCH(#REF!,#REF!, 0)) ), "")</f>
        <v/>
      </c>
      <c r="V4" s="35" t="str">
        <f>IFERROR(IF(INDEX(#REF!,MATCH(#REF!,#REF!, 0))= "", "",INDEX(#REF!,MATCH(#REF!,#REF!, 0)) ), "")</f>
        <v/>
      </c>
      <c r="W4" s="35" t="str">
        <f>IFERROR(IF(INDEX(#REF!,MATCH(#REF!,#REF!, 0))= "", "",INDEX(#REF!,MATCH(#REF!,#REF!, 0)) ), "")</f>
        <v/>
      </c>
      <c r="X4" s="15">
        <v>4</v>
      </c>
      <c r="Y4" s="21"/>
      <c r="Z4"/>
      <c r="AA4"/>
      <c r="AB4"/>
      <c r="AC4"/>
      <c r="AD4"/>
      <c r="AE4"/>
    </row>
    <row r="5" spans="1:31" s="80" customFormat="1" x14ac:dyDescent="0.25">
      <c r="A5" s="68" t="s">
        <v>347</v>
      </c>
      <c r="B5" s="69" t="s">
        <v>357</v>
      </c>
      <c r="C5" s="69" t="s">
        <v>233</v>
      </c>
      <c r="D5" s="69" t="s">
        <v>93</v>
      </c>
      <c r="E5" s="70">
        <v>460506</v>
      </c>
      <c r="F5" s="71">
        <v>4</v>
      </c>
      <c r="G5" s="128">
        <v>3</v>
      </c>
      <c r="H5" s="8">
        <v>2</v>
      </c>
      <c r="I5" s="8">
        <v>3</v>
      </c>
      <c r="J5" s="8">
        <v>4</v>
      </c>
      <c r="K5" s="66">
        <v>5</v>
      </c>
      <c r="L5" s="10">
        <v>3</v>
      </c>
      <c r="M5" s="13">
        <v>3</v>
      </c>
      <c r="N5" s="66">
        <v>4</v>
      </c>
      <c r="O5" s="66">
        <v>5</v>
      </c>
      <c r="P5" s="66">
        <v>3</v>
      </c>
      <c r="Q5" s="8">
        <v>3</v>
      </c>
      <c r="R5" s="74">
        <v>3</v>
      </c>
      <c r="S5" s="75" t="str">
        <f>IFERROR(IF(INDEX(#REF!,MATCH(#REF!,#REF!, 0))= "", "",INDEX(#REF!,MATCH(#REF!,#REF!, 0)) ), "")</f>
        <v/>
      </c>
      <c r="T5" s="66" t="str">
        <f>IFERROR(IF(INDEX(#REF!,MATCH(#REF!,#REF!, 0))= "", "",INDEX(#REF!,MATCH(#REF!,#REF!, 0)) ), "")</f>
        <v/>
      </c>
      <c r="U5" s="73" t="str">
        <f>IFERROR(IF(INDEX(#REF!,MATCH(#REF!,#REF!, 0))= "", "",INDEX(#REF!,MATCH(#REF!,#REF!, 0)) ), "")</f>
        <v/>
      </c>
      <c r="V5" s="76" t="str">
        <f>IFERROR(IF(INDEX(#REF!,MATCH(#REF!,#REF!, 0))= "", "",INDEX(#REF!,MATCH(#REF!,#REF!, 0)) ), "")</f>
        <v/>
      </c>
      <c r="W5" s="76" t="str">
        <f>IFERROR(IF(INDEX(#REF!,MATCH(#REF!,#REF!, 0))= "", "",INDEX(#REF!,MATCH(#REF!,#REF!, 0)) ), "")</f>
        <v/>
      </c>
      <c r="X5" s="78">
        <v>3</v>
      </c>
      <c r="Y5" s="79"/>
      <c r="AA5"/>
    </row>
    <row r="6" spans="1:31" s="80" customFormat="1" x14ac:dyDescent="0.25">
      <c r="A6" s="68" t="s">
        <v>347</v>
      </c>
      <c r="B6" s="69" t="s">
        <v>357</v>
      </c>
      <c r="C6" s="69" t="s">
        <v>301</v>
      </c>
      <c r="D6" s="69" t="s">
        <v>161</v>
      </c>
      <c r="E6" s="70">
        <v>394895</v>
      </c>
      <c r="F6" s="71">
        <v>4</v>
      </c>
      <c r="G6" s="128">
        <v>3</v>
      </c>
      <c r="H6" s="8">
        <v>2</v>
      </c>
      <c r="I6" s="8">
        <v>3</v>
      </c>
      <c r="J6" s="8">
        <v>3</v>
      </c>
      <c r="K6" s="66">
        <v>4</v>
      </c>
      <c r="L6" s="10">
        <v>3</v>
      </c>
      <c r="M6" s="13">
        <v>2</v>
      </c>
      <c r="N6" s="66">
        <v>3</v>
      </c>
      <c r="O6" s="66">
        <v>4</v>
      </c>
      <c r="P6" s="66">
        <v>3</v>
      </c>
      <c r="Q6" s="8">
        <v>3</v>
      </c>
      <c r="R6" s="74">
        <v>3</v>
      </c>
      <c r="S6" s="75" t="str">
        <f>IFERROR(IF(INDEX(#REF!,MATCH(#REF!,#REF!, 0))= "", "",INDEX(#REF!,MATCH(#REF!,#REF!, 0)) ), "")</f>
        <v/>
      </c>
      <c r="T6" s="66" t="str">
        <f>IFERROR(IF(INDEX(#REF!,MATCH(#REF!,#REF!, 0))= "", "",INDEX(#REF!,MATCH(#REF!,#REF!, 0)) ), "")</f>
        <v/>
      </c>
      <c r="U6" s="73" t="str">
        <f>IFERROR(IF(INDEX(#REF!,MATCH(#REF!,#REF!, 0))= "", "",INDEX(#REF!,MATCH(#REF!,#REF!, 0)) ), "")</f>
        <v/>
      </c>
      <c r="V6" s="76" t="str">
        <f>IFERROR(IF(INDEX(#REF!,MATCH(#REF!,#REF!, 0))= "", "",INDEX(#REF!,MATCH(#REF!,#REF!, 0)) ), "")</f>
        <v/>
      </c>
      <c r="W6" s="76" t="str">
        <f>IFERROR(IF(INDEX(#REF!,MATCH(#REF!,#REF!, 0))= "", "",INDEX(#REF!,MATCH(#REF!,#REF!, 0)) ), "")</f>
        <v/>
      </c>
      <c r="X6" s="78">
        <v>3</v>
      </c>
      <c r="Y6" s="79"/>
      <c r="AA6"/>
    </row>
    <row r="7" spans="1:31" x14ac:dyDescent="0.25">
      <c r="A7" s="12" t="s">
        <v>347</v>
      </c>
      <c r="B7" s="117" t="s">
        <v>357</v>
      </c>
      <c r="C7" s="117" t="s">
        <v>272</v>
      </c>
      <c r="D7" s="9" t="s">
        <v>132</v>
      </c>
      <c r="E7" s="37">
        <v>63006</v>
      </c>
      <c r="F7" s="98">
        <v>4</v>
      </c>
      <c r="G7" s="128">
        <v>4</v>
      </c>
      <c r="H7" s="8">
        <v>1</v>
      </c>
      <c r="I7" s="8">
        <v>3</v>
      </c>
      <c r="J7" s="8">
        <v>3</v>
      </c>
      <c r="K7" s="99">
        <v>4</v>
      </c>
      <c r="L7" s="10">
        <v>1</v>
      </c>
      <c r="M7" s="13">
        <v>2</v>
      </c>
      <c r="N7" s="101">
        <v>3</v>
      </c>
      <c r="O7" s="99">
        <v>3</v>
      </c>
      <c r="P7" s="99">
        <v>4</v>
      </c>
      <c r="Q7" s="8">
        <v>1</v>
      </c>
      <c r="R7" s="20">
        <v>3</v>
      </c>
      <c r="S7" s="98" t="str">
        <f>IFERROR(IF(INDEX(#REF!,MATCH(#REF!,#REF!, 0))= "", "",INDEX(#REF!,MATCH(#REF!,#REF!, 0)) ), "")</f>
        <v/>
      </c>
      <c r="T7" s="8" t="str">
        <f>IFERROR(IF(INDEX(#REF!,MATCH(#REF!,#REF!, 0))= "", "",INDEX(#REF!,MATCH(#REF!,#REF!, 0)) ), "")</f>
        <v/>
      </c>
      <c r="U7" s="121" t="str">
        <f>IFERROR(IF(INDEX(#REF!,MATCH(#REF!,#REF!, 0))= "", "",INDEX(#REF!,MATCH(#REF!,#REF!, 0)) ), "")</f>
        <v/>
      </c>
      <c r="V7" s="101" t="str">
        <f>IFERROR(IF(INDEX(#REF!,MATCH(#REF!,#REF!, 0))= "", "",INDEX(#REF!,MATCH(#REF!,#REF!, 0)) ), "")</f>
        <v/>
      </c>
      <c r="W7" s="42" t="str">
        <f>IFERROR(IF(INDEX(#REF!,MATCH(#REF!,#REF!, 0))= "", "",INDEX(#REF!,MATCH(#REF!,#REF!, 0)) ), "")</f>
        <v/>
      </c>
      <c r="X7" s="119">
        <v>3</v>
      </c>
      <c r="Y7" s="120"/>
      <c r="Z7" s="6"/>
    </row>
    <row r="8" spans="1:31" x14ac:dyDescent="0.25">
      <c r="A8" s="12" t="s">
        <v>347</v>
      </c>
      <c r="B8" s="118" t="s">
        <v>357</v>
      </c>
      <c r="C8" s="118" t="s">
        <v>265</v>
      </c>
      <c r="D8" s="9" t="s">
        <v>125</v>
      </c>
      <c r="E8" s="37">
        <v>3987</v>
      </c>
      <c r="F8" s="98">
        <v>4</v>
      </c>
      <c r="G8" s="128">
        <v>4</v>
      </c>
      <c r="H8" s="8">
        <v>2</v>
      </c>
      <c r="I8" s="8">
        <v>3</v>
      </c>
      <c r="J8" s="8">
        <v>3</v>
      </c>
      <c r="K8" s="99">
        <v>4</v>
      </c>
      <c r="L8" s="10">
        <v>0</v>
      </c>
      <c r="M8" s="13">
        <v>4</v>
      </c>
      <c r="N8" s="101">
        <v>3</v>
      </c>
      <c r="O8" s="99">
        <v>4</v>
      </c>
      <c r="P8" s="99">
        <v>4</v>
      </c>
      <c r="Q8" s="8">
        <v>4</v>
      </c>
      <c r="R8" s="20">
        <v>4</v>
      </c>
      <c r="S8" s="98" t="str">
        <f>IFERROR(IF(INDEX(#REF!,MATCH(#REF!,#REF!, 0))= "", "",INDEX(#REF!,MATCH(#REF!,#REF!, 0)) ), "")</f>
        <v/>
      </c>
      <c r="T8" s="8" t="str">
        <f>IFERROR(IF(INDEX(#REF!,MATCH(#REF!,#REF!, 0))= "", "",INDEX(#REF!,MATCH(#REF!,#REF!, 0)) ), "")</f>
        <v/>
      </c>
      <c r="U8" s="121" t="str">
        <f>IFERROR(IF(INDEX(#REF!,MATCH(#REF!,#REF!, 0))= "", "",INDEX(#REF!,MATCH(#REF!,#REF!, 0)) ), "")</f>
        <v/>
      </c>
      <c r="V8" s="101" t="str">
        <f>IFERROR(IF(INDEX(#REF!,MATCH(#REF!,#REF!, 0))= "", "",INDEX(#REF!,MATCH(#REF!,#REF!, 0)) ), "")</f>
        <v/>
      </c>
      <c r="W8" s="122" t="str">
        <f>IFERROR(IF(INDEX(#REF!,MATCH(#REF!,#REF!, 0))= "", "",INDEX(#REF!,MATCH(#REF!,#REF!, 0)) ), "")</f>
        <v/>
      </c>
      <c r="X8" s="119">
        <v>4</v>
      </c>
      <c r="Y8" s="120"/>
    </row>
    <row r="9" spans="1:31" x14ac:dyDescent="0.25">
      <c r="A9" s="12" t="s">
        <v>347</v>
      </c>
      <c r="B9" s="118" t="s">
        <v>357</v>
      </c>
      <c r="C9" s="118" t="s">
        <v>242</v>
      </c>
      <c r="D9" s="9" t="s">
        <v>102</v>
      </c>
      <c r="E9" s="37">
        <v>287439</v>
      </c>
      <c r="F9" s="98">
        <v>4</v>
      </c>
      <c r="G9" s="128">
        <v>5</v>
      </c>
      <c r="H9" s="8">
        <v>3</v>
      </c>
      <c r="I9" s="8">
        <v>4</v>
      </c>
      <c r="J9" s="8">
        <v>4</v>
      </c>
      <c r="K9" s="99">
        <v>5</v>
      </c>
      <c r="L9" s="10">
        <v>3</v>
      </c>
      <c r="M9" s="13">
        <v>4</v>
      </c>
      <c r="N9" s="101">
        <v>5</v>
      </c>
      <c r="O9" s="99">
        <v>4</v>
      </c>
      <c r="P9" s="99">
        <v>4</v>
      </c>
      <c r="Q9" s="8">
        <v>3</v>
      </c>
      <c r="R9" s="20">
        <v>5</v>
      </c>
      <c r="S9" s="98" t="str">
        <f>IFERROR(IF(INDEX(#REF!,MATCH(#REF!,#REF!, 0))= "", "",INDEX(#REF!,MATCH(#REF!,#REF!, 0)) ), "")</f>
        <v/>
      </c>
      <c r="T9" s="8" t="str">
        <f>IFERROR(IF(INDEX(#REF!,MATCH(#REF!,#REF!, 0))= "", "",INDEX(#REF!,MATCH(#REF!,#REF!, 0)) ), "")</f>
        <v/>
      </c>
      <c r="U9" s="121" t="str">
        <f>IFERROR(IF(INDEX(#REF!,MATCH(#REF!,#REF!, 0))= "", "",INDEX(#REF!,MATCH(#REF!,#REF!, 0)) ), "")</f>
        <v/>
      </c>
      <c r="V9" s="101" t="str">
        <f>IFERROR(IF(INDEX(#REF!,MATCH(#REF!,#REF!, 0))= "", "",INDEX(#REF!,MATCH(#REF!,#REF!, 0)) ), "")</f>
        <v/>
      </c>
      <c r="W9" s="123" t="str">
        <f>IFERROR(IF(INDEX(#REF!,MATCH(#REF!,#REF!, 0))= "", "",INDEX(#REF!,MATCH(#REF!,#REF!, 0)) ), "")</f>
        <v/>
      </c>
      <c r="X9" s="119">
        <v>5</v>
      </c>
      <c r="Y9" s="120"/>
    </row>
    <row r="10" spans="1:31" x14ac:dyDescent="0.25">
      <c r="A10" s="12" t="s">
        <v>347</v>
      </c>
      <c r="B10" s="118" t="s">
        <v>357</v>
      </c>
      <c r="C10" s="118" t="s">
        <v>330</v>
      </c>
      <c r="D10" s="9" t="s">
        <v>190</v>
      </c>
      <c r="E10" s="37">
        <v>141693</v>
      </c>
      <c r="F10" s="98">
        <v>4</v>
      </c>
      <c r="G10" s="128">
        <v>5</v>
      </c>
      <c r="H10" s="8">
        <v>1</v>
      </c>
      <c r="I10" s="8">
        <v>3</v>
      </c>
      <c r="J10" s="8">
        <v>4</v>
      </c>
      <c r="K10" s="99">
        <v>4</v>
      </c>
      <c r="L10" s="10">
        <v>3</v>
      </c>
      <c r="M10" s="13">
        <v>3</v>
      </c>
      <c r="N10" s="101">
        <v>4</v>
      </c>
      <c r="O10" s="99">
        <v>4</v>
      </c>
      <c r="P10" s="99">
        <v>4</v>
      </c>
      <c r="Q10" s="8">
        <v>3</v>
      </c>
      <c r="R10" s="20">
        <v>4</v>
      </c>
      <c r="S10" s="98" t="str">
        <f>IFERROR(IF(INDEX(#REF!,MATCH(#REF!,#REF!, 0))= "", "",INDEX(#REF!,MATCH(#REF!,#REF!, 0)) ), "")</f>
        <v/>
      </c>
      <c r="T10" s="8" t="str">
        <f>IFERROR(IF(INDEX(#REF!,MATCH(#REF!,#REF!, 0))= "", "",INDEX(#REF!,MATCH(#REF!,#REF!, 0)) ), "")</f>
        <v/>
      </c>
      <c r="U10" s="121" t="str">
        <f>IFERROR(IF(INDEX(#REF!,MATCH(#REF!,#REF!, 0))= "", "",INDEX(#REF!,MATCH(#REF!,#REF!, 0)) ), "")</f>
        <v/>
      </c>
      <c r="V10" s="101" t="str">
        <f>IFERROR(IF(INDEX(#REF!,MATCH(#REF!,#REF!, 0))= "", "",INDEX(#REF!,MATCH(#REF!,#REF!, 0)) ), "")</f>
        <v/>
      </c>
      <c r="W10" s="123" t="str">
        <f>IFERROR(IF(INDEX(#REF!,MATCH(#REF!,#REF!, 0))= "", "",INDEX(#REF!,MATCH(#REF!,#REF!, 0)) ), "")</f>
        <v/>
      </c>
      <c r="X10" s="119">
        <v>4</v>
      </c>
      <c r="Y10" s="120"/>
    </row>
    <row r="11" spans="1:31" x14ac:dyDescent="0.25">
      <c r="A11" s="12" t="s">
        <v>347</v>
      </c>
      <c r="B11" s="118" t="s">
        <v>357</v>
      </c>
      <c r="C11" s="118" t="s">
        <v>280</v>
      </c>
      <c r="D11" s="9" t="s">
        <v>140</v>
      </c>
      <c r="E11" s="37">
        <v>233614</v>
      </c>
      <c r="F11" s="98">
        <v>4</v>
      </c>
      <c r="G11" s="128">
        <v>4</v>
      </c>
      <c r="H11" s="8">
        <v>2</v>
      </c>
      <c r="I11" s="8">
        <v>3</v>
      </c>
      <c r="J11" s="8">
        <v>3</v>
      </c>
      <c r="K11" s="99">
        <v>4</v>
      </c>
      <c r="L11" s="10">
        <v>3</v>
      </c>
      <c r="M11" s="13">
        <v>3</v>
      </c>
      <c r="N11" s="101">
        <v>3</v>
      </c>
      <c r="O11" s="99">
        <v>4</v>
      </c>
      <c r="P11" s="99">
        <v>4</v>
      </c>
      <c r="Q11" s="8">
        <v>1</v>
      </c>
      <c r="R11" s="20">
        <v>3</v>
      </c>
      <c r="S11" s="98" t="str">
        <f>IFERROR(IF(INDEX(#REF!,MATCH(#REF!,#REF!, 0))= "", "",INDEX(#REF!,MATCH(#REF!,#REF!, 0)) ), "")</f>
        <v/>
      </c>
      <c r="T11" s="8" t="str">
        <f>IFERROR(IF(INDEX(#REF!,MATCH(#REF!,#REF!, 0))= "", "",INDEX(#REF!,MATCH(#REF!,#REF!, 0)) ), "")</f>
        <v/>
      </c>
      <c r="U11" s="121" t="str">
        <f>IFERROR(IF(INDEX(#REF!,MATCH(#REF!,#REF!, 0))= "", "",INDEX(#REF!,MATCH(#REF!,#REF!, 0)) ), "")</f>
        <v/>
      </c>
      <c r="V11" s="101" t="str">
        <f>IFERROR(IF(INDEX(#REF!,MATCH(#REF!,#REF!, 0))= "", "",INDEX(#REF!,MATCH(#REF!,#REF!, 0)) ), "")</f>
        <v/>
      </c>
      <c r="W11" s="42" t="str">
        <f>IFERROR(IF(INDEX(#REF!,MATCH(#REF!,#REF!, 0))= "", "",INDEX(#REF!,MATCH(#REF!,#REF!, 0)) ), "")</f>
        <v/>
      </c>
      <c r="X11" s="119">
        <v>3</v>
      </c>
      <c r="Y11" s="120"/>
    </row>
    <row r="12" spans="1:31" x14ac:dyDescent="0.25">
      <c r="A12" s="12" t="s">
        <v>347</v>
      </c>
      <c r="B12" s="118" t="s">
        <v>357</v>
      </c>
      <c r="C12" s="118" t="s">
        <v>302</v>
      </c>
      <c r="D12" s="9" t="s">
        <v>162</v>
      </c>
      <c r="E12" s="37">
        <v>194867</v>
      </c>
      <c r="F12" s="98">
        <v>2</v>
      </c>
      <c r="G12" s="128">
        <v>4</v>
      </c>
      <c r="H12" s="8">
        <v>1</v>
      </c>
      <c r="I12" s="8">
        <v>3</v>
      </c>
      <c r="J12" s="8">
        <v>3</v>
      </c>
      <c r="K12" s="99">
        <v>4</v>
      </c>
      <c r="L12" s="10">
        <v>1</v>
      </c>
      <c r="M12" s="13">
        <v>2</v>
      </c>
      <c r="N12" s="101">
        <v>3</v>
      </c>
      <c r="O12" s="99">
        <v>3</v>
      </c>
      <c r="P12" s="99">
        <v>4</v>
      </c>
      <c r="Q12" s="8">
        <v>1</v>
      </c>
      <c r="R12" s="20">
        <v>3</v>
      </c>
      <c r="S12" s="98" t="str">
        <f>IFERROR(IF(INDEX(#REF!,MATCH(#REF!,#REF!, 0))= "", "",INDEX(#REF!,MATCH(#REF!,#REF!, 0)) ), "")</f>
        <v/>
      </c>
      <c r="T12" s="8" t="str">
        <f>IFERROR(IF(INDEX(#REF!,MATCH(#REF!,#REF!, 0))= "", "",INDEX(#REF!,MATCH(#REF!,#REF!, 0)) ), "")</f>
        <v/>
      </c>
      <c r="U12" s="121" t="str">
        <f>IFERROR(IF(INDEX(#REF!,MATCH(#REF!,#REF!, 0))= "", "",INDEX(#REF!,MATCH(#REF!,#REF!, 0)) ), "")</f>
        <v/>
      </c>
      <c r="V12" s="101" t="str">
        <f>IFERROR(IF(INDEX(#REF!,MATCH(#REF!,#REF!, 0))= "", "",INDEX(#REF!,MATCH(#REF!,#REF!, 0)) ), "")</f>
        <v/>
      </c>
      <c r="W12" s="123" t="str">
        <f>IFERROR(IF(INDEX(#REF!,MATCH(#REF!,#REF!, 0))= "", "",INDEX(#REF!,MATCH(#REF!,#REF!, 0)) ), "")</f>
        <v/>
      </c>
      <c r="X12" s="119">
        <v>3</v>
      </c>
      <c r="Y12" s="120"/>
    </row>
    <row r="13" spans="1:31" x14ac:dyDescent="0.25">
      <c r="A13" s="12" t="s">
        <v>347</v>
      </c>
      <c r="B13" s="118" t="s">
        <v>357</v>
      </c>
      <c r="C13" s="118" t="s">
        <v>261</v>
      </c>
      <c r="D13" s="9" t="s">
        <v>121</v>
      </c>
      <c r="E13" s="37">
        <v>157549</v>
      </c>
      <c r="F13" s="98">
        <v>3</v>
      </c>
      <c r="G13" s="128">
        <v>4</v>
      </c>
      <c r="H13" s="8">
        <v>1</v>
      </c>
      <c r="I13" s="8">
        <v>3</v>
      </c>
      <c r="J13" s="8">
        <v>3</v>
      </c>
      <c r="K13" s="99">
        <v>4</v>
      </c>
      <c r="L13" s="10">
        <v>3</v>
      </c>
      <c r="M13" s="13">
        <v>2</v>
      </c>
      <c r="N13" s="101">
        <v>3</v>
      </c>
      <c r="O13" s="99">
        <v>3</v>
      </c>
      <c r="P13" s="99">
        <v>4</v>
      </c>
      <c r="Q13" s="8">
        <v>1</v>
      </c>
      <c r="R13" s="20">
        <v>3</v>
      </c>
      <c r="S13" s="98" t="str">
        <f>IFERROR(IF(INDEX(#REF!,MATCH(#REF!,#REF!, 0))= "", "",INDEX(#REF!,MATCH(#REF!,#REF!, 0)) ), "")</f>
        <v/>
      </c>
      <c r="T13" s="8" t="str">
        <f>IFERROR(IF(INDEX(#REF!,MATCH(#REF!,#REF!, 0))= "", "",INDEX(#REF!,MATCH(#REF!,#REF!, 0)) ), "")</f>
        <v/>
      </c>
      <c r="U13" s="121" t="str">
        <f>IFERROR(IF(INDEX(#REF!,MATCH(#REF!,#REF!, 0))= "", "",INDEX(#REF!,MATCH(#REF!,#REF!, 0)) ), "")</f>
        <v/>
      </c>
      <c r="V13" s="101" t="str">
        <f>IFERROR(IF(INDEX(#REF!,MATCH(#REF!,#REF!, 0))= "", "",INDEX(#REF!,MATCH(#REF!,#REF!, 0)) ), "")</f>
        <v/>
      </c>
      <c r="W13" s="123" t="str">
        <f>IFERROR(IF(INDEX(#REF!,MATCH(#REF!,#REF!, 0))= "", "",INDEX(#REF!,MATCH(#REF!,#REF!, 0)) ), "")</f>
        <v/>
      </c>
      <c r="X13" s="119">
        <v>3</v>
      </c>
      <c r="Y13" s="120"/>
    </row>
    <row r="14" spans="1:31" x14ac:dyDescent="0.25">
      <c r="A14" s="12" t="s">
        <v>347</v>
      </c>
      <c r="B14" s="118" t="s">
        <v>357</v>
      </c>
      <c r="C14" s="118" t="s">
        <v>247</v>
      </c>
      <c r="D14" s="9" t="s">
        <v>107</v>
      </c>
      <c r="E14" s="37">
        <v>129879</v>
      </c>
      <c r="F14" s="98">
        <v>2</v>
      </c>
      <c r="G14" s="128">
        <v>3</v>
      </c>
      <c r="H14" s="8">
        <v>5</v>
      </c>
      <c r="I14" s="8">
        <v>3</v>
      </c>
      <c r="J14" s="8">
        <v>4</v>
      </c>
      <c r="K14" s="99">
        <v>5</v>
      </c>
      <c r="L14" s="10">
        <v>3</v>
      </c>
      <c r="M14" s="13">
        <v>3</v>
      </c>
      <c r="N14" s="101">
        <v>4</v>
      </c>
      <c r="O14" s="99">
        <v>5</v>
      </c>
      <c r="P14" s="99">
        <v>4</v>
      </c>
      <c r="Q14" s="8">
        <v>3</v>
      </c>
      <c r="R14" s="20">
        <v>3</v>
      </c>
      <c r="S14" s="98" t="str">
        <f>IFERROR(IF(INDEX(#REF!,MATCH(#REF!,#REF!, 0))= "", "",INDEX(#REF!,MATCH(#REF!,#REF!, 0)) ), "")</f>
        <v/>
      </c>
      <c r="T14" s="8" t="str">
        <f>IFERROR(IF(INDEX(#REF!,MATCH(#REF!,#REF!, 0))= "", "",INDEX(#REF!,MATCH(#REF!,#REF!, 0)) ), "")</f>
        <v/>
      </c>
      <c r="U14" s="121" t="str">
        <f>IFERROR(IF(INDEX(#REF!,MATCH(#REF!,#REF!, 0))= "", "",INDEX(#REF!,MATCH(#REF!,#REF!, 0)) ), "")</f>
        <v/>
      </c>
      <c r="V14" s="101" t="str">
        <f>IFERROR(IF(INDEX(#REF!,MATCH(#REF!,#REF!, 0))= "", "",INDEX(#REF!,MATCH(#REF!,#REF!, 0)) ), "")</f>
        <v/>
      </c>
      <c r="W14" s="42" t="str">
        <f>IFERROR(IF(INDEX(#REF!,MATCH(#REF!,#REF!, 0))= "", "",INDEX(#REF!,MATCH(#REF!,#REF!, 0)) ), "")</f>
        <v/>
      </c>
      <c r="X14" s="119">
        <v>4</v>
      </c>
      <c r="Y14" s="120"/>
    </row>
    <row r="15" spans="1:31" x14ac:dyDescent="0.25">
      <c r="A15" s="12" t="s">
        <v>347</v>
      </c>
      <c r="B15" s="118" t="s">
        <v>357</v>
      </c>
      <c r="C15" s="118" t="s">
        <v>335</v>
      </c>
      <c r="D15" s="9" t="s">
        <v>195</v>
      </c>
      <c r="E15" s="37">
        <v>54753</v>
      </c>
      <c r="F15" s="98">
        <v>1</v>
      </c>
      <c r="G15" s="128">
        <v>4</v>
      </c>
      <c r="H15" s="8">
        <v>1</v>
      </c>
      <c r="I15" s="8">
        <v>3</v>
      </c>
      <c r="J15" s="8">
        <v>3</v>
      </c>
      <c r="K15" s="99">
        <v>4</v>
      </c>
      <c r="L15" s="10">
        <v>1</v>
      </c>
      <c r="M15" s="13">
        <v>2</v>
      </c>
      <c r="N15" s="101">
        <v>3</v>
      </c>
      <c r="O15" s="99">
        <v>4</v>
      </c>
      <c r="P15" s="99">
        <v>4</v>
      </c>
      <c r="Q15" s="8">
        <v>3</v>
      </c>
      <c r="R15" s="20">
        <v>3</v>
      </c>
      <c r="S15" s="98" t="str">
        <f>IFERROR(IF(INDEX(#REF!,MATCH(#REF!,#REF!, 0))= "", "",INDEX(#REF!,MATCH(#REF!,#REF!, 0)) ), "")</f>
        <v/>
      </c>
      <c r="T15" s="8" t="str">
        <f>IFERROR(IF(INDEX(#REF!,MATCH(#REF!,#REF!, 0))= "", "",INDEX(#REF!,MATCH(#REF!,#REF!, 0)) ), "")</f>
        <v/>
      </c>
      <c r="U15" s="121" t="str">
        <f>IFERROR(IF(INDEX(#REF!,MATCH(#REF!,#REF!, 0))= "", "",INDEX(#REF!,MATCH(#REF!,#REF!, 0)) ), "")</f>
        <v/>
      </c>
      <c r="V15" s="101" t="str">
        <f>IFERROR(IF(INDEX(#REF!,MATCH(#REF!,#REF!, 0))= "", "",INDEX(#REF!,MATCH(#REF!,#REF!, 0)) ), "")</f>
        <v/>
      </c>
      <c r="W15" s="123" t="str">
        <f>IFERROR(IF(INDEX(#REF!,MATCH(#REF!,#REF!, 0))= "", "",INDEX(#REF!,MATCH(#REF!,#REF!, 0)) ), "")</f>
        <v/>
      </c>
      <c r="X15" s="119">
        <v>3</v>
      </c>
      <c r="Y15" s="120"/>
    </row>
    <row r="16" spans="1:31" x14ac:dyDescent="0.25">
      <c r="A16" s="12" t="s">
        <v>347</v>
      </c>
      <c r="B16" s="118" t="s">
        <v>357</v>
      </c>
      <c r="C16" s="118" t="s">
        <v>258</v>
      </c>
      <c r="D16" s="9" t="s">
        <v>118</v>
      </c>
      <c r="E16" s="37">
        <v>65036</v>
      </c>
      <c r="F16" s="98">
        <v>4</v>
      </c>
      <c r="G16" s="128">
        <v>4</v>
      </c>
      <c r="H16" s="8">
        <v>2</v>
      </c>
      <c r="I16" s="8">
        <v>3</v>
      </c>
      <c r="J16" s="8">
        <v>3</v>
      </c>
      <c r="K16" s="99">
        <v>4</v>
      </c>
      <c r="L16" s="10">
        <v>4</v>
      </c>
      <c r="M16" s="13">
        <v>2</v>
      </c>
      <c r="N16" s="101">
        <v>3</v>
      </c>
      <c r="O16" s="99">
        <v>4</v>
      </c>
      <c r="P16" s="99">
        <v>4</v>
      </c>
      <c r="Q16" s="8">
        <v>3</v>
      </c>
      <c r="R16" s="20">
        <v>4</v>
      </c>
      <c r="S16" s="98" t="str">
        <f>IFERROR(IF(INDEX(#REF!,MATCH(#REF!,#REF!, 0))= "", "",INDEX(#REF!,MATCH(#REF!,#REF!, 0)) ), "")</f>
        <v/>
      </c>
      <c r="T16" s="8" t="str">
        <f>IFERROR(IF(INDEX(#REF!,MATCH(#REF!,#REF!, 0))= "", "",INDEX(#REF!,MATCH(#REF!,#REF!, 0)) ), "")</f>
        <v/>
      </c>
      <c r="U16" s="121" t="str">
        <f>IFERROR(IF(INDEX(#REF!,MATCH(#REF!,#REF!, 0))= "", "",INDEX(#REF!,MATCH(#REF!,#REF!, 0)) ), "")</f>
        <v/>
      </c>
      <c r="V16" s="101" t="str">
        <f>IFERROR(IF(INDEX(#REF!,MATCH(#REF!,#REF!, 0))= "", "",INDEX(#REF!,MATCH(#REF!,#REF!, 0)) ), "")</f>
        <v/>
      </c>
      <c r="W16" s="123" t="str">
        <f>IFERROR(IF(INDEX(#REF!,MATCH(#REF!,#REF!, 0))= "", "",INDEX(#REF!,MATCH(#REF!,#REF!, 0)) ), "")</f>
        <v/>
      </c>
      <c r="X16" s="119">
        <v>4</v>
      </c>
      <c r="Y16" s="120"/>
    </row>
    <row r="17" spans="1:25" x14ac:dyDescent="0.25">
      <c r="A17" s="12" t="s">
        <v>347</v>
      </c>
      <c r="B17" s="118" t="s">
        <v>357</v>
      </c>
      <c r="C17" s="118" t="s">
        <v>244</v>
      </c>
      <c r="D17" s="9" t="s">
        <v>104</v>
      </c>
      <c r="E17" s="37">
        <v>66185</v>
      </c>
      <c r="F17" s="98">
        <v>3</v>
      </c>
      <c r="G17" s="128">
        <v>4</v>
      </c>
      <c r="H17" s="8">
        <v>1</v>
      </c>
      <c r="I17" s="8">
        <v>3</v>
      </c>
      <c r="J17" s="8">
        <v>3</v>
      </c>
      <c r="K17" s="99">
        <v>4</v>
      </c>
      <c r="L17" s="10">
        <v>1</v>
      </c>
      <c r="M17" s="13">
        <v>2</v>
      </c>
      <c r="N17" s="101">
        <v>3</v>
      </c>
      <c r="O17" s="99">
        <v>4</v>
      </c>
      <c r="P17" s="99">
        <v>3</v>
      </c>
      <c r="Q17" s="8">
        <v>1</v>
      </c>
      <c r="R17" s="20">
        <v>3</v>
      </c>
      <c r="S17" s="98" t="str">
        <f>IFERROR(IF(INDEX(#REF!,MATCH(#REF!,#REF!, 0))= "", "",INDEX(#REF!,MATCH(#REF!,#REF!, 0)) ), "")</f>
        <v/>
      </c>
      <c r="T17" s="8" t="str">
        <f>IFERROR(IF(INDEX(#REF!,MATCH(#REF!,#REF!, 0))= "", "",INDEX(#REF!,MATCH(#REF!,#REF!, 0)) ), "")</f>
        <v/>
      </c>
      <c r="U17" s="121" t="str">
        <f>IFERROR(IF(INDEX(#REF!,MATCH(#REF!,#REF!, 0))= "", "",INDEX(#REF!,MATCH(#REF!,#REF!, 0)) ), "")</f>
        <v/>
      </c>
      <c r="V17" s="101" t="str">
        <f>IFERROR(IF(INDEX(#REF!,MATCH(#REF!,#REF!, 0))= "", "",INDEX(#REF!,MATCH(#REF!,#REF!, 0)) ), "")</f>
        <v/>
      </c>
      <c r="W17" s="123" t="str">
        <f>IFERROR(IF(INDEX(#REF!,MATCH(#REF!,#REF!, 0))= "", "",INDEX(#REF!,MATCH(#REF!,#REF!, 0)) ), "")</f>
        <v/>
      </c>
      <c r="X17" s="119">
        <v>3</v>
      </c>
      <c r="Y17" s="120"/>
    </row>
    <row r="18" spans="1:25" x14ac:dyDescent="0.25">
      <c r="A18" s="12" t="s">
        <v>347</v>
      </c>
      <c r="B18" s="118" t="s">
        <v>357</v>
      </c>
      <c r="C18" s="118" t="s">
        <v>255</v>
      </c>
      <c r="D18" s="9" t="s">
        <v>115</v>
      </c>
      <c r="E18" s="37">
        <v>54717</v>
      </c>
      <c r="F18" s="98">
        <v>1</v>
      </c>
      <c r="G18" s="128">
        <v>4</v>
      </c>
      <c r="H18" s="8">
        <v>3</v>
      </c>
      <c r="I18" s="8">
        <v>3</v>
      </c>
      <c r="J18" s="8">
        <v>4</v>
      </c>
      <c r="K18" s="99">
        <v>4</v>
      </c>
      <c r="L18" s="10">
        <v>0</v>
      </c>
      <c r="M18" s="13">
        <v>1</v>
      </c>
      <c r="N18" s="101">
        <v>1</v>
      </c>
      <c r="O18" s="99">
        <v>4</v>
      </c>
      <c r="P18" s="99">
        <v>3</v>
      </c>
      <c r="Q18" s="8">
        <v>1</v>
      </c>
      <c r="R18" s="20">
        <v>3</v>
      </c>
      <c r="S18" s="98" t="str">
        <f>IFERROR(IF(INDEX(#REF!,MATCH(#REF!,#REF!, 0))= "", "",INDEX(#REF!,MATCH(#REF!,#REF!, 0)) ), "")</f>
        <v/>
      </c>
      <c r="T18" s="8" t="str">
        <f>IFERROR(IF(INDEX(#REF!,MATCH(#REF!,#REF!, 0))= "", "",INDEX(#REF!,MATCH(#REF!,#REF!, 0)) ), "")</f>
        <v/>
      </c>
      <c r="U18" s="121" t="str">
        <f>IFERROR(IF(INDEX(#REF!,MATCH(#REF!,#REF!, 0))= "", "",INDEX(#REF!,MATCH(#REF!,#REF!, 0)) ), "")</f>
        <v/>
      </c>
      <c r="V18" s="101" t="str">
        <f>IFERROR(IF(INDEX(#REF!,MATCH(#REF!,#REF!, 0))= "", "",INDEX(#REF!,MATCH(#REF!,#REF!, 0)) ), "")</f>
        <v/>
      </c>
      <c r="W18" s="42" t="str">
        <f>IFERROR(IF(INDEX(#REF!,MATCH(#REF!,#REF!, 0))= "", "",INDEX(#REF!,MATCH(#REF!,#REF!, 0)) ), "")</f>
        <v/>
      </c>
      <c r="X18" s="119">
        <v>3</v>
      </c>
      <c r="Y18" s="120"/>
    </row>
    <row r="19" spans="1:25" x14ac:dyDescent="0.25">
      <c r="A19" s="12" t="s">
        <v>347</v>
      </c>
      <c r="B19" s="118" t="s">
        <v>357</v>
      </c>
      <c r="C19" s="118" t="s">
        <v>211</v>
      </c>
      <c r="D19" s="9" t="s">
        <v>71</v>
      </c>
      <c r="E19" s="37">
        <v>142752</v>
      </c>
      <c r="F19" s="98">
        <v>4</v>
      </c>
      <c r="G19" s="128">
        <v>4</v>
      </c>
      <c r="H19" s="8">
        <v>2</v>
      </c>
      <c r="I19" s="8">
        <v>3</v>
      </c>
      <c r="J19" s="8">
        <v>4</v>
      </c>
      <c r="K19" s="99">
        <v>4</v>
      </c>
      <c r="L19" s="10">
        <v>4</v>
      </c>
      <c r="M19" s="13">
        <v>4</v>
      </c>
      <c r="N19" s="101">
        <v>3</v>
      </c>
      <c r="O19" s="99">
        <v>4</v>
      </c>
      <c r="P19" s="99">
        <v>2</v>
      </c>
      <c r="Q19" s="8">
        <v>1</v>
      </c>
      <c r="R19" s="20">
        <v>4</v>
      </c>
      <c r="S19" s="98" t="str">
        <f>IFERROR(IF(INDEX(#REF!,MATCH(#REF!,#REF!, 0))= "", "",INDEX(#REF!,MATCH(#REF!,#REF!, 0)) ), "")</f>
        <v/>
      </c>
      <c r="T19" s="8" t="str">
        <f>IFERROR(IF(INDEX(#REF!,MATCH(#REF!,#REF!, 0))= "", "",INDEX(#REF!,MATCH(#REF!,#REF!, 0)) ), "")</f>
        <v/>
      </c>
      <c r="U19" s="121" t="str">
        <f>IFERROR(IF(INDEX(#REF!,MATCH(#REF!,#REF!, 0))= "", "",INDEX(#REF!,MATCH(#REF!,#REF!, 0)) ), "")</f>
        <v/>
      </c>
      <c r="V19" s="101" t="str">
        <f>IFERROR(IF(INDEX(#REF!,MATCH(#REF!,#REF!, 0))= "", "",INDEX(#REF!,MATCH(#REF!,#REF!, 0)) ), "")</f>
        <v/>
      </c>
      <c r="W19" s="122" t="str">
        <f>IFERROR(IF(INDEX(#REF!,MATCH(#REF!,#REF!, 0))= "", "",INDEX(#REF!,MATCH(#REF!,#REF!, 0)) ), "")</f>
        <v/>
      </c>
      <c r="X19" s="119">
        <v>4</v>
      </c>
      <c r="Y19" s="120"/>
    </row>
    <row r="20" spans="1:25" x14ac:dyDescent="0.25">
      <c r="A20" s="12" t="s">
        <v>347</v>
      </c>
      <c r="B20" s="118" t="s">
        <v>357</v>
      </c>
      <c r="C20" s="118" t="s">
        <v>227</v>
      </c>
      <c r="D20" s="9" t="s">
        <v>87</v>
      </c>
      <c r="E20" s="37">
        <v>65302</v>
      </c>
      <c r="F20" s="98">
        <v>3</v>
      </c>
      <c r="G20" s="128">
        <v>4</v>
      </c>
      <c r="H20" s="8">
        <v>3</v>
      </c>
      <c r="I20" s="8">
        <v>3</v>
      </c>
      <c r="J20" s="8">
        <v>4</v>
      </c>
      <c r="K20" s="99">
        <v>4</v>
      </c>
      <c r="L20" s="10">
        <v>4</v>
      </c>
      <c r="M20" s="13">
        <v>3</v>
      </c>
      <c r="N20" s="101">
        <v>3</v>
      </c>
      <c r="O20" s="99">
        <v>4</v>
      </c>
      <c r="P20" s="99">
        <v>4</v>
      </c>
      <c r="Q20" s="8">
        <v>1</v>
      </c>
      <c r="R20" s="20">
        <v>4</v>
      </c>
      <c r="S20" s="98" t="str">
        <f>IFERROR(IF(INDEX(#REF!,MATCH(#REF!,#REF!, 0))= "", "",INDEX(#REF!,MATCH(#REF!,#REF!, 0)) ), "")</f>
        <v/>
      </c>
      <c r="T20" s="8" t="str">
        <f>IFERROR(IF(INDEX(#REF!,MATCH(#REF!,#REF!, 0))= "", "",INDEX(#REF!,MATCH(#REF!,#REF!, 0)) ), "")</f>
        <v/>
      </c>
      <c r="U20" s="121" t="str">
        <f>IFERROR(IF(INDEX(#REF!,MATCH(#REF!,#REF!, 0))= "", "",INDEX(#REF!,MATCH(#REF!,#REF!, 0)) ), "")</f>
        <v/>
      </c>
      <c r="V20" s="101" t="str">
        <f>IFERROR(IF(INDEX(#REF!,MATCH(#REF!,#REF!, 0))= "", "",INDEX(#REF!,MATCH(#REF!,#REF!, 0)) ), "")</f>
        <v/>
      </c>
      <c r="W20" s="123" t="str">
        <f>IFERROR(IF(INDEX(#REF!,MATCH(#REF!,#REF!, 0))= "", "",INDEX(#REF!,MATCH(#REF!,#REF!, 0)) ), "")</f>
        <v/>
      </c>
      <c r="X20" s="119">
        <v>4</v>
      </c>
      <c r="Y20" s="120"/>
    </row>
    <row r="21" spans="1:25" x14ac:dyDescent="0.25">
      <c r="A21" s="12" t="s">
        <v>347</v>
      </c>
      <c r="B21" s="118" t="s">
        <v>357</v>
      </c>
      <c r="C21" s="118" t="s">
        <v>207</v>
      </c>
      <c r="D21" s="9" t="s">
        <v>67</v>
      </c>
      <c r="E21" s="37">
        <v>70156</v>
      </c>
      <c r="F21" s="98">
        <v>1</v>
      </c>
      <c r="G21" s="128">
        <v>4</v>
      </c>
      <c r="H21" s="8">
        <v>2</v>
      </c>
      <c r="I21" s="8">
        <v>4</v>
      </c>
      <c r="J21" s="8">
        <v>3</v>
      </c>
      <c r="K21" s="99">
        <v>4</v>
      </c>
      <c r="L21" s="10">
        <v>3</v>
      </c>
      <c r="M21" s="13">
        <v>1</v>
      </c>
      <c r="N21" s="101">
        <v>3</v>
      </c>
      <c r="O21" s="99">
        <v>4</v>
      </c>
      <c r="P21" s="99">
        <v>3</v>
      </c>
      <c r="Q21" s="8">
        <v>1</v>
      </c>
      <c r="R21" s="20">
        <v>3</v>
      </c>
      <c r="S21" s="98" t="str">
        <f>IFERROR(IF(INDEX(#REF!,MATCH(#REF!,#REF!, 0))= "", "",INDEX(#REF!,MATCH(#REF!,#REF!, 0)) ), "")</f>
        <v/>
      </c>
      <c r="T21" s="8" t="str">
        <f>IFERROR(IF(INDEX(#REF!,MATCH(#REF!,#REF!, 0))= "", "",INDEX(#REF!,MATCH(#REF!,#REF!, 0)) ), "")</f>
        <v/>
      </c>
      <c r="U21" s="121" t="str">
        <f>IFERROR(IF(INDEX(#REF!,MATCH(#REF!,#REF!, 0))= "", "",INDEX(#REF!,MATCH(#REF!,#REF!, 0)) ), "")</f>
        <v/>
      </c>
      <c r="V21" s="101" t="str">
        <f>IFERROR(IF(INDEX(#REF!,MATCH(#REF!,#REF!, 0))= "", "",INDEX(#REF!,MATCH(#REF!,#REF!, 0)) ), "")</f>
        <v/>
      </c>
      <c r="W21" s="42" t="str">
        <f>IFERROR(IF(INDEX(#REF!,MATCH(#REF!,#REF!, 0))= "", "",INDEX(#REF!,MATCH(#REF!,#REF!, 0)) ), "")</f>
        <v/>
      </c>
      <c r="X21" s="119">
        <v>3</v>
      </c>
      <c r="Y21" s="120"/>
    </row>
    <row r="22" spans="1:25" x14ac:dyDescent="0.25">
      <c r="A22" s="12" t="s">
        <v>347</v>
      </c>
      <c r="B22" s="118" t="s">
        <v>357</v>
      </c>
      <c r="C22" s="118" t="s">
        <v>311</v>
      </c>
      <c r="D22" s="9" t="s">
        <v>171</v>
      </c>
      <c r="E22" s="37">
        <v>26818</v>
      </c>
      <c r="F22" s="98">
        <v>1</v>
      </c>
      <c r="G22" s="128">
        <v>4</v>
      </c>
      <c r="H22" s="8">
        <v>2</v>
      </c>
      <c r="I22" s="8">
        <v>4</v>
      </c>
      <c r="J22" s="8">
        <v>3</v>
      </c>
      <c r="K22" s="99">
        <v>4</v>
      </c>
      <c r="L22" s="10">
        <v>3</v>
      </c>
      <c r="M22" s="13">
        <v>1</v>
      </c>
      <c r="N22" s="101">
        <v>3</v>
      </c>
      <c r="O22" s="99">
        <v>3</v>
      </c>
      <c r="P22" s="99">
        <v>4</v>
      </c>
      <c r="Q22" s="8">
        <v>1</v>
      </c>
      <c r="R22" s="20">
        <v>3</v>
      </c>
      <c r="S22" s="98" t="str">
        <f>IFERROR(IF(INDEX(#REF!,MATCH(#REF!,#REF!, 0))= "", "",INDEX(#REF!,MATCH(#REF!,#REF!, 0)) ), "")</f>
        <v/>
      </c>
      <c r="T22" s="8" t="str">
        <f>IFERROR(IF(INDEX(#REF!,MATCH(#REF!,#REF!, 0))= "", "",INDEX(#REF!,MATCH(#REF!,#REF!, 0)) ), "")</f>
        <v/>
      </c>
      <c r="U22" s="121" t="str">
        <f>IFERROR(IF(INDEX(#REF!,MATCH(#REF!,#REF!, 0))= "", "",INDEX(#REF!,MATCH(#REF!,#REF!, 0)) ), "")</f>
        <v/>
      </c>
      <c r="V22" s="101" t="str">
        <f>IFERROR(IF(INDEX(#REF!,MATCH(#REF!,#REF!, 0))= "", "",INDEX(#REF!,MATCH(#REF!,#REF!, 0)) ), "")</f>
        <v/>
      </c>
      <c r="W22" s="122" t="str">
        <f>IFERROR(IF(INDEX(#REF!,MATCH(#REF!,#REF!, 0))= "", "",INDEX(#REF!,MATCH(#REF!,#REF!, 0)) ), "")</f>
        <v/>
      </c>
      <c r="X22" s="119">
        <v>3</v>
      </c>
      <c r="Y22" s="120"/>
    </row>
    <row r="23" spans="1:25" x14ac:dyDescent="0.25">
      <c r="A23" s="12" t="s">
        <v>345</v>
      </c>
      <c r="B23" s="118" t="s">
        <v>355</v>
      </c>
      <c r="C23" s="118" t="s">
        <v>269</v>
      </c>
      <c r="D23" s="9" t="s">
        <v>129</v>
      </c>
      <c r="E23" s="37">
        <v>258099</v>
      </c>
      <c r="F23" s="98">
        <v>3</v>
      </c>
      <c r="G23" s="128">
        <v>3</v>
      </c>
      <c r="H23" s="8">
        <v>3</v>
      </c>
      <c r="I23" s="8">
        <v>3</v>
      </c>
      <c r="J23" s="8">
        <v>4</v>
      </c>
      <c r="K23" s="99">
        <v>4</v>
      </c>
      <c r="L23" s="10">
        <v>4</v>
      </c>
      <c r="M23" s="13">
        <v>2</v>
      </c>
      <c r="N23" s="101">
        <v>3</v>
      </c>
      <c r="O23" s="99">
        <v>4</v>
      </c>
      <c r="P23" s="99">
        <v>3</v>
      </c>
      <c r="Q23" s="8">
        <v>1</v>
      </c>
      <c r="R23" s="20">
        <v>3</v>
      </c>
      <c r="S23" s="98" t="str">
        <f>IFERROR(IF(INDEX(#REF!,MATCH(#REF!,#REF!, 0))= "", "",INDEX(#REF!,MATCH(#REF!,#REF!, 0)) ), "")</f>
        <v/>
      </c>
      <c r="T23" s="8" t="str">
        <f>IFERROR(IF(INDEX(#REF!,MATCH(#REF!,#REF!, 0))= "", "",INDEX(#REF!,MATCH(#REF!,#REF!, 0)) ), "")</f>
        <v/>
      </c>
      <c r="U23" s="121" t="str">
        <f>IFERROR(IF(INDEX(#REF!,MATCH(#REF!,#REF!, 0))= "", "",INDEX(#REF!,MATCH(#REF!,#REF!, 0)) ), "")</f>
        <v/>
      </c>
      <c r="V23" s="101" t="str">
        <f>IFERROR(IF(INDEX(#REF!,MATCH(#REF!,#REF!, 0))= "", "",INDEX(#REF!,MATCH(#REF!,#REF!, 0)) ), "")</f>
        <v/>
      </c>
      <c r="W23" s="122" t="str">
        <f>IFERROR(IF(INDEX(#REF!,MATCH(#REF!,#REF!, 0))= "", "",INDEX(#REF!,MATCH(#REF!,#REF!, 0)) ), "")</f>
        <v/>
      </c>
      <c r="X23" s="119">
        <v>3</v>
      </c>
      <c r="Y23" s="120"/>
    </row>
    <row r="24" spans="1:25" x14ac:dyDescent="0.25">
      <c r="A24" s="12" t="s">
        <v>345</v>
      </c>
      <c r="B24" s="118" t="s">
        <v>355</v>
      </c>
      <c r="C24" s="118" t="s">
        <v>288</v>
      </c>
      <c r="D24" s="9" t="s">
        <v>148</v>
      </c>
      <c r="E24" s="37">
        <v>92869</v>
      </c>
      <c r="F24" s="98">
        <v>2</v>
      </c>
      <c r="G24" s="128">
        <v>3</v>
      </c>
      <c r="H24" s="8">
        <v>2</v>
      </c>
      <c r="I24" s="8">
        <v>3</v>
      </c>
      <c r="J24" s="8">
        <v>4</v>
      </c>
      <c r="K24" s="99">
        <v>3</v>
      </c>
      <c r="L24" s="10">
        <v>3</v>
      </c>
      <c r="M24" s="13">
        <v>2</v>
      </c>
      <c r="N24" s="101">
        <v>3</v>
      </c>
      <c r="O24" s="99">
        <v>2</v>
      </c>
      <c r="P24" s="99">
        <v>3</v>
      </c>
      <c r="Q24" s="8">
        <v>1</v>
      </c>
      <c r="R24" s="20">
        <v>3</v>
      </c>
      <c r="S24" s="98" t="str">
        <f>IFERROR(IF(INDEX(#REF!,MATCH(#REF!,#REF!, 0))= "", "",INDEX(#REF!,MATCH(#REF!,#REF!, 0)) ), "")</f>
        <v/>
      </c>
      <c r="T24" s="8" t="str">
        <f>IFERROR(IF(INDEX(#REF!,MATCH(#REF!,#REF!, 0))= "", "",INDEX(#REF!,MATCH(#REF!,#REF!, 0)) ), "")</f>
        <v/>
      </c>
      <c r="U24" s="121" t="str">
        <f>IFERROR(IF(INDEX(#REF!,MATCH(#REF!,#REF!, 0))= "", "",INDEX(#REF!,MATCH(#REF!,#REF!, 0)) ), "")</f>
        <v/>
      </c>
      <c r="V24" s="101" t="str">
        <f>IFERROR(IF(INDEX(#REF!,MATCH(#REF!,#REF!, 0))= "", "",INDEX(#REF!,MATCH(#REF!,#REF!, 0)) ), "")</f>
        <v/>
      </c>
      <c r="W24" s="123" t="str">
        <f>IFERROR(IF(INDEX(#REF!,MATCH(#REF!,#REF!, 0))= "", "",INDEX(#REF!,MATCH(#REF!,#REF!, 0)) ), "")</f>
        <v/>
      </c>
      <c r="X24" s="119">
        <v>3</v>
      </c>
      <c r="Y24" s="120"/>
    </row>
    <row r="25" spans="1:25" x14ac:dyDescent="0.25">
      <c r="A25" s="12" t="s">
        <v>345</v>
      </c>
      <c r="B25" s="118" t="s">
        <v>355</v>
      </c>
      <c r="C25" s="118" t="s">
        <v>235</v>
      </c>
      <c r="D25" s="9" t="s">
        <v>95</v>
      </c>
      <c r="E25" s="37">
        <v>49845</v>
      </c>
      <c r="F25" s="98">
        <v>1</v>
      </c>
      <c r="G25" s="128">
        <v>3</v>
      </c>
      <c r="H25" s="8">
        <v>2</v>
      </c>
      <c r="I25" s="8">
        <v>3</v>
      </c>
      <c r="J25" s="8">
        <v>3</v>
      </c>
      <c r="K25" s="99">
        <v>3</v>
      </c>
      <c r="L25" s="10">
        <v>3</v>
      </c>
      <c r="M25" s="13">
        <v>1</v>
      </c>
      <c r="N25" s="101">
        <v>3</v>
      </c>
      <c r="O25" s="99">
        <v>2</v>
      </c>
      <c r="P25" s="99">
        <v>3</v>
      </c>
      <c r="Q25" s="8">
        <v>1</v>
      </c>
      <c r="R25" s="20">
        <v>3</v>
      </c>
      <c r="S25" s="98" t="str">
        <f>IFERROR(IF(INDEX(#REF!,MATCH(#REF!,#REF!, 0))= "", "",INDEX(#REF!,MATCH(#REF!,#REF!, 0)) ), "")</f>
        <v/>
      </c>
      <c r="T25" s="8" t="str">
        <f>IFERROR(IF(INDEX(#REF!,MATCH(#REF!,#REF!, 0))= "", "",INDEX(#REF!,MATCH(#REF!,#REF!, 0)) ), "")</f>
        <v/>
      </c>
      <c r="U25" s="121" t="str">
        <f>IFERROR(IF(INDEX(#REF!,MATCH(#REF!,#REF!, 0))= "", "",INDEX(#REF!,MATCH(#REF!,#REF!, 0)) ), "")</f>
        <v/>
      </c>
      <c r="V25" s="101" t="str">
        <f>IFERROR(IF(INDEX(#REF!,MATCH(#REF!,#REF!, 0))= "", "",INDEX(#REF!,MATCH(#REF!,#REF!, 0)) ), "")</f>
        <v/>
      </c>
      <c r="W25" s="42" t="str">
        <f>IFERROR(IF(INDEX(#REF!,MATCH(#REF!,#REF!, 0))= "", "",INDEX(#REF!,MATCH(#REF!,#REF!, 0)) ), "")</f>
        <v/>
      </c>
      <c r="X25" s="119">
        <v>3</v>
      </c>
      <c r="Y25" s="120"/>
    </row>
    <row r="26" spans="1:25" x14ac:dyDescent="0.25">
      <c r="A26" s="12" t="s">
        <v>345</v>
      </c>
      <c r="B26" s="118" t="s">
        <v>355</v>
      </c>
      <c r="C26" s="118" t="s">
        <v>277</v>
      </c>
      <c r="D26" s="9" t="s">
        <v>137</v>
      </c>
      <c r="E26" s="37">
        <v>47372</v>
      </c>
      <c r="F26" s="98">
        <v>2</v>
      </c>
      <c r="G26" s="128">
        <v>3</v>
      </c>
      <c r="H26" s="8">
        <v>3</v>
      </c>
      <c r="I26" s="8">
        <v>3</v>
      </c>
      <c r="J26" s="8">
        <v>3</v>
      </c>
      <c r="K26" s="99">
        <v>3</v>
      </c>
      <c r="L26" s="10">
        <v>4</v>
      </c>
      <c r="M26" s="13">
        <v>2</v>
      </c>
      <c r="N26" s="101">
        <v>3</v>
      </c>
      <c r="O26" s="99">
        <v>3</v>
      </c>
      <c r="P26" s="99">
        <v>3</v>
      </c>
      <c r="Q26" s="8">
        <v>1</v>
      </c>
      <c r="R26" s="20">
        <v>3</v>
      </c>
      <c r="S26" s="98" t="str">
        <f>IFERROR(IF(INDEX(#REF!,MATCH(#REF!,#REF!, 0))= "", "",INDEX(#REF!,MATCH(#REF!,#REF!, 0)) ), "")</f>
        <v/>
      </c>
      <c r="T26" s="8" t="str">
        <f>IFERROR(IF(INDEX(#REF!,MATCH(#REF!,#REF!, 0))= "", "",INDEX(#REF!,MATCH(#REF!,#REF!, 0)) ), "")</f>
        <v/>
      </c>
      <c r="U26" s="121" t="str">
        <f>IFERROR(IF(INDEX(#REF!,MATCH(#REF!,#REF!, 0))= "", "",INDEX(#REF!,MATCH(#REF!,#REF!, 0)) ), "")</f>
        <v/>
      </c>
      <c r="V26" s="101" t="str">
        <f>IFERROR(IF(INDEX(#REF!,MATCH(#REF!,#REF!, 0))= "", "",INDEX(#REF!,MATCH(#REF!,#REF!, 0)) ), "")</f>
        <v/>
      </c>
      <c r="W26" s="122" t="str">
        <f>IFERROR(IF(INDEX(#REF!,MATCH(#REF!,#REF!, 0))= "", "",INDEX(#REF!,MATCH(#REF!,#REF!, 0)) ), "")</f>
        <v/>
      </c>
      <c r="X26" s="119">
        <v>3</v>
      </c>
      <c r="Y26" s="120"/>
    </row>
    <row r="27" spans="1:25" x14ac:dyDescent="0.25">
      <c r="A27" s="12" t="s">
        <v>345</v>
      </c>
      <c r="B27" s="118" t="s">
        <v>355</v>
      </c>
      <c r="C27" s="118" t="s">
        <v>216</v>
      </c>
      <c r="D27" s="9" t="s">
        <v>76</v>
      </c>
      <c r="E27" s="37">
        <v>113034</v>
      </c>
      <c r="F27" s="98">
        <v>3</v>
      </c>
      <c r="G27" s="128">
        <v>3</v>
      </c>
      <c r="H27" s="8">
        <v>3</v>
      </c>
      <c r="I27" s="8">
        <v>3</v>
      </c>
      <c r="J27" s="8">
        <v>4</v>
      </c>
      <c r="K27" s="99">
        <v>3</v>
      </c>
      <c r="L27" s="10">
        <v>4</v>
      </c>
      <c r="M27" s="13">
        <v>2</v>
      </c>
      <c r="N27" s="101">
        <v>3</v>
      </c>
      <c r="O27" s="99">
        <v>3</v>
      </c>
      <c r="P27" s="99">
        <v>3</v>
      </c>
      <c r="Q27" s="8">
        <v>1</v>
      </c>
      <c r="R27" s="20">
        <v>3</v>
      </c>
      <c r="S27" s="98" t="str">
        <f>IFERROR(IF(INDEX(#REF!,MATCH(#REF!,#REF!, 0))= "", "",INDEX(#REF!,MATCH(#REF!,#REF!, 0)) ), "")</f>
        <v/>
      </c>
      <c r="T27" s="8" t="str">
        <f>IFERROR(IF(INDEX(#REF!,MATCH(#REF!,#REF!, 0))= "", "",INDEX(#REF!,MATCH(#REF!,#REF!, 0)) ), "")</f>
        <v/>
      </c>
      <c r="U27" s="121" t="str">
        <f>IFERROR(IF(INDEX(#REF!,MATCH(#REF!,#REF!, 0))= "", "",INDEX(#REF!,MATCH(#REF!,#REF!, 0)) ), "")</f>
        <v/>
      </c>
      <c r="V27" s="101" t="str">
        <f>IFERROR(IF(INDEX(#REF!,MATCH(#REF!,#REF!, 0))= "", "",INDEX(#REF!,MATCH(#REF!,#REF!, 0)) ), "")</f>
        <v/>
      </c>
      <c r="W27" s="123" t="str">
        <f>IFERROR(IF(INDEX(#REF!,MATCH(#REF!,#REF!, 0))= "", "",INDEX(#REF!,MATCH(#REF!,#REF!, 0)) ), "")</f>
        <v/>
      </c>
      <c r="X27" s="119">
        <v>3</v>
      </c>
      <c r="Y27" s="120"/>
    </row>
    <row r="28" spans="1:25" x14ac:dyDescent="0.25">
      <c r="A28" s="12" t="s">
        <v>345</v>
      </c>
      <c r="B28" s="118" t="s">
        <v>355</v>
      </c>
      <c r="C28" s="118" t="s">
        <v>246</v>
      </c>
      <c r="D28" s="9" t="s">
        <v>106</v>
      </c>
      <c r="E28" s="37">
        <v>63370</v>
      </c>
      <c r="F28" s="98">
        <v>2</v>
      </c>
      <c r="G28" s="128">
        <v>3</v>
      </c>
      <c r="H28" s="8">
        <v>2</v>
      </c>
      <c r="I28" s="8">
        <v>3</v>
      </c>
      <c r="J28" s="8">
        <v>4</v>
      </c>
      <c r="K28" s="99">
        <v>3</v>
      </c>
      <c r="L28" s="10">
        <v>2</v>
      </c>
      <c r="M28" s="13">
        <v>2</v>
      </c>
      <c r="N28" s="101">
        <v>3</v>
      </c>
      <c r="O28" s="99">
        <v>3</v>
      </c>
      <c r="P28" s="99">
        <v>3</v>
      </c>
      <c r="Q28" s="8">
        <v>1</v>
      </c>
      <c r="R28" s="20">
        <v>3</v>
      </c>
      <c r="S28" s="98" t="str">
        <f>IFERROR(IF(INDEX(#REF!,MATCH(#REF!,#REF!, 0))= "", "",INDEX(#REF!,MATCH(#REF!,#REF!, 0)) ), "")</f>
        <v/>
      </c>
      <c r="T28" s="8" t="str">
        <f>IFERROR(IF(INDEX(#REF!,MATCH(#REF!,#REF!, 0))= "", "",INDEX(#REF!,MATCH(#REF!,#REF!, 0)) ), "")</f>
        <v/>
      </c>
      <c r="U28" s="121" t="str">
        <f>IFERROR(IF(INDEX(#REF!,MATCH(#REF!,#REF!, 0))= "", "",INDEX(#REF!,MATCH(#REF!,#REF!, 0)) ), "")</f>
        <v/>
      </c>
      <c r="V28" s="101" t="str">
        <f>IFERROR(IF(INDEX(#REF!,MATCH(#REF!,#REF!, 0))= "", "",INDEX(#REF!,MATCH(#REF!,#REF!, 0)) ), "")</f>
        <v/>
      </c>
      <c r="W28" s="42" t="str">
        <f>IFERROR(IF(INDEX(#REF!,MATCH(#REF!,#REF!, 0))= "", "",INDEX(#REF!,MATCH(#REF!,#REF!, 0)) ), "")</f>
        <v/>
      </c>
      <c r="X28" s="119">
        <v>3</v>
      </c>
      <c r="Y28" s="120"/>
    </row>
    <row r="29" spans="1:25" x14ac:dyDescent="0.25">
      <c r="A29" s="12" t="s">
        <v>345</v>
      </c>
      <c r="B29" s="118" t="s">
        <v>355</v>
      </c>
      <c r="C29" s="118" t="s">
        <v>222</v>
      </c>
      <c r="D29" s="9" t="s">
        <v>82</v>
      </c>
      <c r="E29" s="37">
        <v>95781</v>
      </c>
      <c r="F29" s="98">
        <v>2</v>
      </c>
      <c r="G29" s="128">
        <v>3</v>
      </c>
      <c r="H29" s="8">
        <v>4</v>
      </c>
      <c r="I29" s="8">
        <v>4</v>
      </c>
      <c r="J29" s="8">
        <v>4</v>
      </c>
      <c r="K29" s="99">
        <v>3</v>
      </c>
      <c r="L29" s="10">
        <v>3</v>
      </c>
      <c r="M29" s="13">
        <v>2</v>
      </c>
      <c r="N29" s="101">
        <v>3</v>
      </c>
      <c r="O29" s="99">
        <v>3</v>
      </c>
      <c r="P29" s="99">
        <v>3</v>
      </c>
      <c r="Q29" s="8">
        <v>1</v>
      </c>
      <c r="R29" s="20">
        <v>3</v>
      </c>
      <c r="S29" s="98" t="str">
        <f>IFERROR(IF(INDEX(#REF!,MATCH(#REF!,#REF!, 0))= "", "",INDEX(#REF!,MATCH(#REF!,#REF!, 0)) ), "")</f>
        <v/>
      </c>
      <c r="T29" s="8" t="str">
        <f>IFERROR(IF(INDEX(#REF!,MATCH(#REF!,#REF!, 0))= "", "",INDEX(#REF!,MATCH(#REF!,#REF!, 0)) ), "")</f>
        <v/>
      </c>
      <c r="U29" s="121" t="str">
        <f>IFERROR(IF(INDEX(#REF!,MATCH(#REF!,#REF!, 0))= "", "",INDEX(#REF!,MATCH(#REF!,#REF!, 0)) ), "")</f>
        <v/>
      </c>
      <c r="V29" s="101" t="str">
        <f>IFERROR(IF(INDEX(#REF!,MATCH(#REF!,#REF!, 0))= "", "",INDEX(#REF!,MATCH(#REF!,#REF!, 0)) ), "")</f>
        <v/>
      </c>
      <c r="W29" s="122" t="str">
        <f>IFERROR(IF(INDEX(#REF!,MATCH(#REF!,#REF!, 0))= "", "",INDEX(#REF!,MATCH(#REF!,#REF!, 0)) ), "")</f>
        <v/>
      </c>
      <c r="X29" s="119">
        <v>3</v>
      </c>
      <c r="Y29" s="120"/>
    </row>
    <row r="30" spans="1:25" x14ac:dyDescent="0.25">
      <c r="A30" s="12" t="s">
        <v>345</v>
      </c>
      <c r="B30" s="118" t="s">
        <v>355</v>
      </c>
      <c r="C30" s="118" t="s">
        <v>262</v>
      </c>
      <c r="D30" s="9" t="s">
        <v>122</v>
      </c>
      <c r="E30" s="37">
        <v>25416</v>
      </c>
      <c r="F30" s="98">
        <v>3</v>
      </c>
      <c r="G30" s="128">
        <v>3</v>
      </c>
      <c r="H30" s="8">
        <v>3</v>
      </c>
      <c r="I30" s="8">
        <v>4</v>
      </c>
      <c r="J30" s="8">
        <v>4</v>
      </c>
      <c r="K30" s="99">
        <v>3</v>
      </c>
      <c r="L30" s="10">
        <v>4</v>
      </c>
      <c r="M30" s="13">
        <v>3</v>
      </c>
      <c r="N30" s="101">
        <v>3</v>
      </c>
      <c r="O30" s="99">
        <v>3</v>
      </c>
      <c r="P30" s="99">
        <v>3</v>
      </c>
      <c r="Q30" s="8">
        <v>1</v>
      </c>
      <c r="R30" s="20">
        <v>3</v>
      </c>
      <c r="S30" s="98" t="str">
        <f>IFERROR(IF(INDEX(#REF!,MATCH(#REF!,#REF!, 0))= "", "",INDEX(#REF!,MATCH(#REF!,#REF!, 0)) ), "")</f>
        <v/>
      </c>
      <c r="T30" s="8" t="str">
        <f>IFERROR(IF(INDEX(#REF!,MATCH(#REF!,#REF!, 0))= "", "",INDEX(#REF!,MATCH(#REF!,#REF!, 0)) ), "")</f>
        <v/>
      </c>
      <c r="U30" s="121" t="str">
        <f>IFERROR(IF(INDEX(#REF!,MATCH(#REF!,#REF!, 0))= "", "",INDEX(#REF!,MATCH(#REF!,#REF!, 0)) ), "")</f>
        <v/>
      </c>
      <c r="V30" s="101" t="str">
        <f>IFERROR(IF(INDEX(#REF!,MATCH(#REF!,#REF!, 0))= "", "",INDEX(#REF!,MATCH(#REF!,#REF!, 0)) ), "")</f>
        <v/>
      </c>
      <c r="W30" s="123" t="str">
        <f>IFERROR(IF(INDEX(#REF!,MATCH(#REF!,#REF!, 0))= "", "",INDEX(#REF!,MATCH(#REF!,#REF!, 0)) ), "")</f>
        <v/>
      </c>
      <c r="X30" s="119">
        <v>3</v>
      </c>
      <c r="Y30" s="120"/>
    </row>
    <row r="31" spans="1:25" x14ac:dyDescent="0.25">
      <c r="A31" s="12" t="s">
        <v>345</v>
      </c>
      <c r="B31" s="118" t="s">
        <v>355</v>
      </c>
      <c r="C31" s="118" t="s">
        <v>333</v>
      </c>
      <c r="D31" s="9" t="s">
        <v>193</v>
      </c>
      <c r="E31" s="37">
        <v>46178</v>
      </c>
      <c r="F31" s="98">
        <v>3</v>
      </c>
      <c r="G31" s="128">
        <v>3</v>
      </c>
      <c r="H31" s="8">
        <v>3</v>
      </c>
      <c r="I31" s="8">
        <v>3</v>
      </c>
      <c r="J31" s="8">
        <v>4</v>
      </c>
      <c r="K31" s="99">
        <v>3</v>
      </c>
      <c r="L31" s="10">
        <v>4</v>
      </c>
      <c r="M31" s="13">
        <v>2</v>
      </c>
      <c r="N31" s="101">
        <v>3</v>
      </c>
      <c r="O31" s="99">
        <v>3</v>
      </c>
      <c r="P31" s="99">
        <v>3</v>
      </c>
      <c r="Q31" s="8">
        <v>2</v>
      </c>
      <c r="R31" s="20">
        <v>3</v>
      </c>
      <c r="S31" s="98" t="str">
        <f>IFERROR(IF(INDEX(#REF!,MATCH(#REF!,#REF!, 0))= "", "",INDEX(#REF!,MATCH(#REF!,#REF!, 0)) ), "")</f>
        <v/>
      </c>
      <c r="T31" s="8" t="str">
        <f>IFERROR(IF(INDEX(#REF!,MATCH(#REF!,#REF!, 0))= "", "",INDEX(#REF!,MATCH(#REF!,#REF!, 0)) ), "")</f>
        <v/>
      </c>
      <c r="U31" s="121" t="str">
        <f>IFERROR(IF(INDEX(#REF!,MATCH(#REF!,#REF!, 0))= "", "",INDEX(#REF!,MATCH(#REF!,#REF!, 0)) ), "")</f>
        <v/>
      </c>
      <c r="V31" s="101" t="str">
        <f>IFERROR(IF(INDEX(#REF!,MATCH(#REF!,#REF!, 0))= "", "",INDEX(#REF!,MATCH(#REF!,#REF!, 0)) ), "")</f>
        <v/>
      </c>
      <c r="W31" s="42" t="str">
        <f>IFERROR(IF(INDEX(#REF!,MATCH(#REF!,#REF!, 0))= "", "",INDEX(#REF!,MATCH(#REF!,#REF!, 0)) ), "")</f>
        <v/>
      </c>
      <c r="X31" s="119">
        <v>3</v>
      </c>
      <c r="Y31" s="120"/>
    </row>
    <row r="32" spans="1:25" x14ac:dyDescent="0.25">
      <c r="A32" s="12" t="s">
        <v>345</v>
      </c>
      <c r="B32" s="118" t="s">
        <v>355</v>
      </c>
      <c r="C32" s="118" t="s">
        <v>205</v>
      </c>
      <c r="D32" s="9" t="s">
        <v>65</v>
      </c>
      <c r="E32" s="37">
        <v>43459</v>
      </c>
      <c r="F32" s="98">
        <v>3</v>
      </c>
      <c r="G32" s="128">
        <v>3</v>
      </c>
      <c r="H32" s="8">
        <v>2</v>
      </c>
      <c r="I32" s="8">
        <v>3</v>
      </c>
      <c r="J32" s="8">
        <v>4</v>
      </c>
      <c r="K32" s="99">
        <v>4</v>
      </c>
      <c r="L32" s="10">
        <v>4</v>
      </c>
      <c r="M32" s="13">
        <v>3</v>
      </c>
      <c r="N32" s="101">
        <v>3</v>
      </c>
      <c r="O32" s="99">
        <v>3</v>
      </c>
      <c r="P32" s="99">
        <v>3</v>
      </c>
      <c r="Q32" s="8">
        <v>4</v>
      </c>
      <c r="R32" s="20">
        <v>3</v>
      </c>
      <c r="S32" s="98" t="str">
        <f>IFERROR(IF(INDEX(#REF!,MATCH(#REF!,#REF!, 0))= "", "",INDEX(#REF!,MATCH(#REF!,#REF!, 0)) ), "")</f>
        <v/>
      </c>
      <c r="T32" s="8" t="str">
        <f>IFERROR(IF(INDEX(#REF!,MATCH(#REF!,#REF!, 0))= "", "",INDEX(#REF!,MATCH(#REF!,#REF!, 0)) ), "")</f>
        <v/>
      </c>
      <c r="U32" s="121" t="str">
        <f>IFERROR(IF(INDEX(#REF!,MATCH(#REF!,#REF!, 0))= "", "",INDEX(#REF!,MATCH(#REF!,#REF!, 0)) ), "")</f>
        <v/>
      </c>
      <c r="V32" s="101" t="str">
        <f>IFERROR(IF(INDEX(#REF!,MATCH(#REF!,#REF!, 0))= "", "",INDEX(#REF!,MATCH(#REF!,#REF!, 0)) ), "")</f>
        <v/>
      </c>
      <c r="W32" s="122" t="str">
        <f>IFERROR(IF(INDEX(#REF!,MATCH(#REF!,#REF!, 0))= "", "",INDEX(#REF!,MATCH(#REF!,#REF!, 0)) ), "")</f>
        <v/>
      </c>
      <c r="X32" s="119">
        <v>3</v>
      </c>
      <c r="Y32" s="120"/>
    </row>
    <row r="33" spans="1:25" x14ac:dyDescent="0.25">
      <c r="A33" s="12" t="s">
        <v>343</v>
      </c>
      <c r="B33" s="118" t="s">
        <v>353</v>
      </c>
      <c r="C33" s="118" t="s">
        <v>229</v>
      </c>
      <c r="D33" s="9" t="s">
        <v>89</v>
      </c>
      <c r="E33" s="37">
        <v>303590</v>
      </c>
      <c r="F33" s="98">
        <v>3</v>
      </c>
      <c r="G33" s="128">
        <v>3</v>
      </c>
      <c r="H33" s="8">
        <v>2</v>
      </c>
      <c r="I33" s="8">
        <v>3</v>
      </c>
      <c r="J33" s="8">
        <v>4</v>
      </c>
      <c r="K33" s="99">
        <v>3</v>
      </c>
      <c r="L33" s="10">
        <v>3</v>
      </c>
      <c r="M33" s="13">
        <v>3</v>
      </c>
      <c r="N33" s="101">
        <v>3</v>
      </c>
      <c r="O33" s="99">
        <v>3</v>
      </c>
      <c r="P33" s="99">
        <v>3</v>
      </c>
      <c r="Q33" s="8">
        <v>3</v>
      </c>
      <c r="R33" s="20">
        <v>3</v>
      </c>
      <c r="S33" s="98" t="str">
        <f>IFERROR(IF(INDEX(#REF!,MATCH(#REF!,#REF!, 0))= "", "",INDEX(#REF!,MATCH(#REF!,#REF!, 0)) ), "")</f>
        <v/>
      </c>
      <c r="T33" s="8" t="str">
        <f>IFERROR(IF(INDEX(#REF!,MATCH(#REF!,#REF!, 0))= "", "",INDEX(#REF!,MATCH(#REF!,#REF!, 0)) ), "")</f>
        <v/>
      </c>
      <c r="U33" s="121" t="str">
        <f>IFERROR(IF(INDEX(#REF!,MATCH(#REF!,#REF!, 0))= "", "",INDEX(#REF!,MATCH(#REF!,#REF!, 0)) ), "")</f>
        <v/>
      </c>
      <c r="V33" s="101" t="str">
        <f>IFERROR(IF(INDEX(#REF!,MATCH(#REF!,#REF!, 0))= "", "",INDEX(#REF!,MATCH(#REF!,#REF!, 0)) ), "")</f>
        <v/>
      </c>
      <c r="W33" s="123" t="str">
        <f>IFERROR(IF(INDEX(#REF!,MATCH(#REF!,#REF!, 0))= "", "",INDEX(#REF!,MATCH(#REF!,#REF!, 0)) ), "")</f>
        <v/>
      </c>
      <c r="X33" s="119">
        <v>3</v>
      </c>
      <c r="Y33" s="120"/>
    </row>
    <row r="34" spans="1:25" x14ac:dyDescent="0.25">
      <c r="A34" s="12" t="s">
        <v>343</v>
      </c>
      <c r="B34" s="118" t="s">
        <v>353</v>
      </c>
      <c r="C34" s="118" t="s">
        <v>317</v>
      </c>
      <c r="D34" s="9" t="s">
        <v>177</v>
      </c>
      <c r="E34" s="37">
        <v>29881</v>
      </c>
      <c r="F34" s="98">
        <v>1</v>
      </c>
      <c r="G34" s="128">
        <v>3</v>
      </c>
      <c r="H34" s="8">
        <v>2</v>
      </c>
      <c r="I34" s="8">
        <v>3</v>
      </c>
      <c r="J34" s="8">
        <v>4</v>
      </c>
      <c r="K34" s="99">
        <v>3</v>
      </c>
      <c r="L34" s="10">
        <v>3</v>
      </c>
      <c r="M34" s="13">
        <v>2</v>
      </c>
      <c r="N34" s="101">
        <v>3</v>
      </c>
      <c r="O34" s="99">
        <v>2</v>
      </c>
      <c r="P34" s="99">
        <v>3</v>
      </c>
      <c r="Q34" s="8">
        <v>1</v>
      </c>
      <c r="R34" s="20">
        <v>3</v>
      </c>
      <c r="S34" s="98" t="str">
        <f>IFERROR(IF(INDEX(#REF!,MATCH(#REF!,#REF!, 0))= "", "",INDEX(#REF!,MATCH(#REF!,#REF!, 0)) ), "")</f>
        <v/>
      </c>
      <c r="T34" s="8" t="str">
        <f>IFERROR(IF(INDEX(#REF!,MATCH(#REF!,#REF!, 0))= "", "",INDEX(#REF!,MATCH(#REF!,#REF!, 0)) ), "")</f>
        <v/>
      </c>
      <c r="U34" s="121" t="str">
        <f>IFERROR(IF(INDEX(#REF!,MATCH(#REF!,#REF!, 0))= "", "",INDEX(#REF!,MATCH(#REF!,#REF!, 0)) ), "")</f>
        <v/>
      </c>
      <c r="V34" s="101" t="str">
        <f>IFERROR(IF(INDEX(#REF!,MATCH(#REF!,#REF!, 0))= "", "",INDEX(#REF!,MATCH(#REF!,#REF!, 0)) ), "")</f>
        <v/>
      </c>
      <c r="W34" s="42" t="str">
        <f>IFERROR(IF(INDEX(#REF!,MATCH(#REF!,#REF!, 0))= "", "",INDEX(#REF!,MATCH(#REF!,#REF!, 0)) ), "")</f>
        <v/>
      </c>
      <c r="X34" s="119">
        <v>3</v>
      </c>
      <c r="Y34" s="120"/>
    </row>
    <row r="35" spans="1:25" x14ac:dyDescent="0.25">
      <c r="A35" s="12" t="s">
        <v>343</v>
      </c>
      <c r="B35" s="118" t="s">
        <v>353</v>
      </c>
      <c r="C35" s="118" t="s">
        <v>285</v>
      </c>
      <c r="D35" s="9" t="s">
        <v>145</v>
      </c>
      <c r="E35" s="37">
        <v>61261</v>
      </c>
      <c r="F35" s="98">
        <v>2</v>
      </c>
      <c r="G35" s="128">
        <v>3</v>
      </c>
      <c r="H35" s="8">
        <v>2</v>
      </c>
      <c r="I35" s="8">
        <v>3</v>
      </c>
      <c r="J35" s="8">
        <v>4</v>
      </c>
      <c r="K35" s="99">
        <v>3</v>
      </c>
      <c r="L35" s="10">
        <v>3</v>
      </c>
      <c r="M35" s="13">
        <v>2</v>
      </c>
      <c r="N35" s="101">
        <v>3</v>
      </c>
      <c r="O35" s="99">
        <v>2</v>
      </c>
      <c r="P35" s="99">
        <v>3</v>
      </c>
      <c r="Q35" s="8">
        <v>1</v>
      </c>
      <c r="R35" s="20">
        <v>3</v>
      </c>
      <c r="S35" s="98" t="str">
        <f>IFERROR(IF(INDEX(#REF!,MATCH(#REF!,#REF!, 0))= "", "",INDEX(#REF!,MATCH(#REF!,#REF!, 0)) ), "")</f>
        <v/>
      </c>
      <c r="T35" s="8" t="str">
        <f>IFERROR(IF(INDEX(#REF!,MATCH(#REF!,#REF!, 0))= "", "",INDEX(#REF!,MATCH(#REF!,#REF!, 0)) ), "")</f>
        <v/>
      </c>
      <c r="U35" s="121" t="str">
        <f>IFERROR(IF(INDEX(#REF!,MATCH(#REF!,#REF!, 0))= "", "",INDEX(#REF!,MATCH(#REF!,#REF!, 0)) ), "")</f>
        <v/>
      </c>
      <c r="V35" s="101" t="str">
        <f>IFERROR(IF(INDEX(#REF!,MATCH(#REF!,#REF!, 0))= "", "",INDEX(#REF!,MATCH(#REF!,#REF!, 0)) ), "")</f>
        <v/>
      </c>
      <c r="W35" s="123" t="str">
        <f>IFERROR(IF(INDEX(#REF!,MATCH(#REF!,#REF!, 0))= "", "",INDEX(#REF!,MATCH(#REF!,#REF!, 0)) ), "")</f>
        <v/>
      </c>
      <c r="X35" s="119">
        <v>3</v>
      </c>
      <c r="Y35" s="120"/>
    </row>
    <row r="36" spans="1:25" x14ac:dyDescent="0.25">
      <c r="A36" s="12" t="s">
        <v>343</v>
      </c>
      <c r="B36" s="118" t="s">
        <v>353</v>
      </c>
      <c r="C36" s="118" t="s">
        <v>203</v>
      </c>
      <c r="D36" s="9" t="s">
        <v>63</v>
      </c>
      <c r="E36" s="37">
        <v>59632</v>
      </c>
      <c r="F36" s="98">
        <v>1</v>
      </c>
      <c r="G36" s="128">
        <v>3</v>
      </c>
      <c r="H36" s="8">
        <v>2</v>
      </c>
      <c r="I36" s="8">
        <v>3</v>
      </c>
      <c r="J36" s="8">
        <v>4</v>
      </c>
      <c r="K36" s="99">
        <v>3</v>
      </c>
      <c r="L36" s="10">
        <v>3</v>
      </c>
      <c r="M36" s="13">
        <v>2</v>
      </c>
      <c r="N36" s="101">
        <v>3</v>
      </c>
      <c r="O36" s="99">
        <v>2</v>
      </c>
      <c r="P36" s="99">
        <v>2</v>
      </c>
      <c r="Q36" s="8">
        <v>1</v>
      </c>
      <c r="R36" s="20">
        <v>3</v>
      </c>
      <c r="S36" s="98" t="str">
        <f>IFERROR(IF(INDEX(#REF!,MATCH(#REF!,#REF!, 0))= "", "",INDEX(#REF!,MATCH(#REF!,#REF!, 0)) ), "")</f>
        <v/>
      </c>
      <c r="T36" s="8" t="str">
        <f>IFERROR(IF(INDEX(#REF!,MATCH(#REF!,#REF!, 0))= "", "",INDEX(#REF!,MATCH(#REF!,#REF!, 0)) ), "")</f>
        <v/>
      </c>
      <c r="U36" s="121" t="str">
        <f>IFERROR(IF(INDEX(#REF!,MATCH(#REF!,#REF!, 0))= "", "",INDEX(#REF!,MATCH(#REF!,#REF!, 0)) ), "")</f>
        <v/>
      </c>
      <c r="V36" s="101" t="str">
        <f>IFERROR(IF(INDEX(#REF!,MATCH(#REF!,#REF!, 0))= "", "",INDEX(#REF!,MATCH(#REF!,#REF!, 0)) ), "")</f>
        <v/>
      </c>
      <c r="W36" s="123" t="str">
        <f>IFERROR(IF(INDEX(#REF!,MATCH(#REF!,#REF!, 0))= "", "",INDEX(#REF!,MATCH(#REF!,#REF!, 0)) ), "")</f>
        <v/>
      </c>
      <c r="X36" s="119">
        <v>3</v>
      </c>
      <c r="Y36" s="120"/>
    </row>
    <row r="37" spans="1:25" x14ac:dyDescent="0.25">
      <c r="A37" s="12" t="s">
        <v>343</v>
      </c>
      <c r="B37" s="118" t="s">
        <v>353</v>
      </c>
      <c r="C37" s="118" t="s">
        <v>308</v>
      </c>
      <c r="D37" s="9" t="s">
        <v>168</v>
      </c>
      <c r="E37" s="37">
        <v>43982</v>
      </c>
      <c r="F37" s="98">
        <v>1</v>
      </c>
      <c r="G37" s="128">
        <v>3</v>
      </c>
      <c r="H37" s="8">
        <v>2</v>
      </c>
      <c r="I37" s="8">
        <v>3</v>
      </c>
      <c r="J37" s="8">
        <v>4</v>
      </c>
      <c r="K37" s="99">
        <v>3</v>
      </c>
      <c r="L37" s="10">
        <v>3</v>
      </c>
      <c r="M37" s="13">
        <v>2</v>
      </c>
      <c r="N37" s="101">
        <v>3</v>
      </c>
      <c r="O37" s="99">
        <v>2</v>
      </c>
      <c r="P37" s="99">
        <v>3</v>
      </c>
      <c r="Q37" s="8">
        <v>1</v>
      </c>
      <c r="R37" s="20">
        <v>3</v>
      </c>
      <c r="S37" s="98" t="str">
        <f>IFERROR(IF(INDEX(#REF!,MATCH(#REF!,#REF!, 0))= "", "",INDEX(#REF!,MATCH(#REF!,#REF!, 0)) ), "")</f>
        <v/>
      </c>
      <c r="T37" s="8" t="str">
        <f>IFERROR(IF(INDEX(#REF!,MATCH(#REF!,#REF!, 0))= "", "",INDEX(#REF!,MATCH(#REF!,#REF!, 0)) ), "")</f>
        <v/>
      </c>
      <c r="U37" s="121" t="str">
        <f>IFERROR(IF(INDEX(#REF!,MATCH(#REF!,#REF!, 0))= "", "",INDEX(#REF!,MATCH(#REF!,#REF!, 0)) ), "")</f>
        <v/>
      </c>
      <c r="V37" s="101" t="str">
        <f>IFERROR(IF(INDEX(#REF!,MATCH(#REF!,#REF!, 0))= "", "",INDEX(#REF!,MATCH(#REF!,#REF!, 0)) ), "")</f>
        <v/>
      </c>
      <c r="W37" s="123" t="str">
        <f>IFERROR(IF(INDEX(#REF!,MATCH(#REF!,#REF!, 0))= "", "",INDEX(#REF!,MATCH(#REF!,#REF!, 0)) ), "")</f>
        <v/>
      </c>
      <c r="X37" s="119">
        <v>3</v>
      </c>
      <c r="Y37" s="120"/>
    </row>
    <row r="38" spans="1:25" x14ac:dyDescent="0.25">
      <c r="A38" s="12" t="s">
        <v>343</v>
      </c>
      <c r="B38" s="118" t="s">
        <v>353</v>
      </c>
      <c r="C38" s="118" t="s">
        <v>290</v>
      </c>
      <c r="D38" s="9" t="s">
        <v>150</v>
      </c>
      <c r="E38" s="37">
        <v>34193</v>
      </c>
      <c r="F38" s="98">
        <v>1</v>
      </c>
      <c r="G38" s="128">
        <v>3</v>
      </c>
      <c r="H38" s="8">
        <v>2</v>
      </c>
      <c r="I38" s="8">
        <v>3</v>
      </c>
      <c r="J38" s="8">
        <v>4</v>
      </c>
      <c r="K38" s="99">
        <v>3</v>
      </c>
      <c r="L38" s="10">
        <v>3</v>
      </c>
      <c r="M38" s="13">
        <v>2</v>
      </c>
      <c r="N38" s="101">
        <v>3</v>
      </c>
      <c r="O38" s="99">
        <v>2</v>
      </c>
      <c r="P38" s="99">
        <v>3</v>
      </c>
      <c r="Q38" s="8">
        <v>1</v>
      </c>
      <c r="R38" s="20">
        <v>3</v>
      </c>
      <c r="S38" s="98" t="str">
        <f>IFERROR(IF(INDEX(#REF!,MATCH(#REF!,#REF!, 0))= "", "",INDEX(#REF!,MATCH(#REF!,#REF!, 0)) ), "")</f>
        <v/>
      </c>
      <c r="T38" s="8" t="str">
        <f>IFERROR(IF(INDEX(#REF!,MATCH(#REF!,#REF!, 0))= "", "",INDEX(#REF!,MATCH(#REF!,#REF!, 0)) ), "")</f>
        <v/>
      </c>
      <c r="U38" s="121" t="str">
        <f>IFERROR(IF(INDEX(#REF!,MATCH(#REF!,#REF!, 0))= "", "",INDEX(#REF!,MATCH(#REF!,#REF!, 0)) ), "")</f>
        <v/>
      </c>
      <c r="V38" s="101" t="str">
        <f>IFERROR(IF(INDEX(#REF!,MATCH(#REF!,#REF!, 0))= "", "",INDEX(#REF!,MATCH(#REF!,#REF!, 0)) ), "")</f>
        <v/>
      </c>
      <c r="W38" s="42" t="str">
        <f>IFERROR(IF(INDEX(#REF!,MATCH(#REF!,#REF!, 0))= "", "",INDEX(#REF!,MATCH(#REF!,#REF!, 0)) ), "")</f>
        <v/>
      </c>
      <c r="X38" s="119">
        <v>3</v>
      </c>
      <c r="Y38" s="120"/>
    </row>
    <row r="39" spans="1:25" x14ac:dyDescent="0.25">
      <c r="A39" s="12" t="s">
        <v>343</v>
      </c>
      <c r="B39" s="118" t="s">
        <v>353</v>
      </c>
      <c r="C39" s="118" t="s">
        <v>263</v>
      </c>
      <c r="D39" s="9" t="s">
        <v>123</v>
      </c>
      <c r="E39" s="37">
        <v>43816</v>
      </c>
      <c r="F39" s="98">
        <v>1</v>
      </c>
      <c r="G39" s="128">
        <v>3</v>
      </c>
      <c r="H39" s="8">
        <v>2</v>
      </c>
      <c r="I39" s="8">
        <v>3</v>
      </c>
      <c r="J39" s="8">
        <v>4</v>
      </c>
      <c r="K39" s="99">
        <v>3</v>
      </c>
      <c r="L39" s="10">
        <v>3</v>
      </c>
      <c r="M39" s="13">
        <v>2</v>
      </c>
      <c r="N39" s="101">
        <v>3</v>
      </c>
      <c r="O39" s="99">
        <v>2</v>
      </c>
      <c r="P39" s="99">
        <v>3</v>
      </c>
      <c r="Q39" s="8">
        <v>1</v>
      </c>
      <c r="R39" s="20">
        <v>3</v>
      </c>
      <c r="S39" s="98" t="str">
        <f>IFERROR(IF(INDEX(#REF!,MATCH(#REF!,#REF!, 0))= "", "",INDEX(#REF!,MATCH(#REF!,#REF!, 0)) ), "")</f>
        <v/>
      </c>
      <c r="T39" s="8" t="str">
        <f>IFERROR(IF(INDEX(#REF!,MATCH(#REF!,#REF!, 0))= "", "",INDEX(#REF!,MATCH(#REF!,#REF!, 0)) ), "")</f>
        <v/>
      </c>
      <c r="U39" s="121" t="str">
        <f>IFERROR(IF(INDEX(#REF!,MATCH(#REF!,#REF!, 0))= "", "",INDEX(#REF!,MATCH(#REF!,#REF!, 0)) ), "")</f>
        <v/>
      </c>
      <c r="V39" s="101" t="str">
        <f>IFERROR(IF(INDEX(#REF!,MATCH(#REF!,#REF!, 0))= "", "",INDEX(#REF!,MATCH(#REF!,#REF!, 0)) ), "")</f>
        <v/>
      </c>
      <c r="W39" s="122" t="str">
        <f>IFERROR(IF(INDEX(#REF!,MATCH(#REF!,#REF!, 0))= "", "",INDEX(#REF!,MATCH(#REF!,#REF!, 0)) ), "")</f>
        <v/>
      </c>
      <c r="X39" s="119">
        <v>3</v>
      </c>
      <c r="Y39" s="120"/>
    </row>
    <row r="40" spans="1:25" x14ac:dyDescent="0.25">
      <c r="A40" s="12" t="s">
        <v>343</v>
      </c>
      <c r="B40" s="118" t="s">
        <v>353</v>
      </c>
      <c r="C40" s="118" t="s">
        <v>214</v>
      </c>
      <c r="D40" s="9" t="s">
        <v>74</v>
      </c>
      <c r="E40" s="37">
        <v>24534</v>
      </c>
      <c r="F40" s="98">
        <v>1</v>
      </c>
      <c r="G40" s="128">
        <v>3</v>
      </c>
      <c r="H40" s="8">
        <v>2</v>
      </c>
      <c r="I40" s="8">
        <v>3</v>
      </c>
      <c r="J40" s="8">
        <v>3</v>
      </c>
      <c r="K40" s="99">
        <v>3</v>
      </c>
      <c r="L40" s="10">
        <v>3</v>
      </c>
      <c r="M40" s="13">
        <v>1</v>
      </c>
      <c r="N40" s="101">
        <v>3</v>
      </c>
      <c r="O40" s="99">
        <v>2</v>
      </c>
      <c r="P40" s="99">
        <v>3</v>
      </c>
      <c r="Q40" s="8">
        <v>1</v>
      </c>
      <c r="R40" s="20">
        <v>3</v>
      </c>
      <c r="S40" s="98" t="str">
        <f>IFERROR(IF(INDEX(#REF!,MATCH(#REF!,#REF!, 0))= "", "",INDEX(#REF!,MATCH(#REF!,#REF!, 0)) ), "")</f>
        <v/>
      </c>
      <c r="T40" s="8" t="str">
        <f>IFERROR(IF(INDEX(#REF!,MATCH(#REF!,#REF!, 0))= "", "",INDEX(#REF!,MATCH(#REF!,#REF!, 0)) ), "")</f>
        <v/>
      </c>
      <c r="U40" s="121" t="str">
        <f>IFERROR(IF(INDEX(#REF!,MATCH(#REF!,#REF!, 0))= "", "",INDEX(#REF!,MATCH(#REF!,#REF!, 0)) ), "")</f>
        <v/>
      </c>
      <c r="V40" s="101" t="str">
        <f>IFERROR(IF(INDEX(#REF!,MATCH(#REF!,#REF!, 0))= "", "",INDEX(#REF!,MATCH(#REF!,#REF!, 0)) ), "")</f>
        <v/>
      </c>
      <c r="W40" s="122" t="str">
        <f>IFERROR(IF(INDEX(#REF!,MATCH(#REF!,#REF!, 0))= "", "",INDEX(#REF!,MATCH(#REF!,#REF!, 0)) ), "")</f>
        <v/>
      </c>
      <c r="X40" s="119">
        <v>3</v>
      </c>
      <c r="Y40" s="120"/>
    </row>
    <row r="41" spans="1:25" x14ac:dyDescent="0.25">
      <c r="A41" s="12" t="s">
        <v>343</v>
      </c>
      <c r="B41" s="118" t="s">
        <v>353</v>
      </c>
      <c r="C41" s="118" t="s">
        <v>324</v>
      </c>
      <c r="D41" s="9" t="s">
        <v>184</v>
      </c>
      <c r="E41" s="37">
        <v>56607</v>
      </c>
      <c r="F41" s="98">
        <v>1</v>
      </c>
      <c r="G41" s="128">
        <v>3</v>
      </c>
      <c r="H41" s="8">
        <v>2</v>
      </c>
      <c r="I41" s="8">
        <v>3</v>
      </c>
      <c r="J41" s="8">
        <v>4</v>
      </c>
      <c r="K41" s="99">
        <v>3</v>
      </c>
      <c r="L41" s="10">
        <v>3</v>
      </c>
      <c r="M41" s="13">
        <v>2</v>
      </c>
      <c r="N41" s="101">
        <v>3</v>
      </c>
      <c r="O41" s="99">
        <v>3</v>
      </c>
      <c r="P41" s="99">
        <v>3</v>
      </c>
      <c r="Q41" s="8">
        <v>1</v>
      </c>
      <c r="R41" s="20">
        <v>3</v>
      </c>
      <c r="S41" s="98" t="str">
        <f>IFERROR(IF(INDEX(#REF!,MATCH(#REF!,#REF!, 0))= "", "",INDEX(#REF!,MATCH(#REF!,#REF!, 0)) ), "")</f>
        <v/>
      </c>
      <c r="T41" s="8" t="str">
        <f>IFERROR(IF(INDEX(#REF!,MATCH(#REF!,#REF!, 0))= "", "",INDEX(#REF!,MATCH(#REF!,#REF!, 0)) ), "")</f>
        <v/>
      </c>
      <c r="U41" s="121" t="str">
        <f>IFERROR(IF(INDEX(#REF!,MATCH(#REF!,#REF!, 0))= "", "",INDEX(#REF!,MATCH(#REF!,#REF!, 0)) ), "")</f>
        <v/>
      </c>
      <c r="V41" s="101" t="str">
        <f>IFERROR(IF(INDEX(#REF!,MATCH(#REF!,#REF!, 0))= "", "",INDEX(#REF!,MATCH(#REF!,#REF!, 0)) ), "")</f>
        <v/>
      </c>
      <c r="W41" s="122" t="str">
        <f>IFERROR(IF(INDEX(#REF!,MATCH(#REF!,#REF!, 0))= "", "",INDEX(#REF!,MATCH(#REF!,#REF!, 0)) ), "")</f>
        <v/>
      </c>
      <c r="X41" s="119">
        <v>3</v>
      </c>
      <c r="Y41" s="120"/>
    </row>
    <row r="42" spans="1:25" x14ac:dyDescent="0.25">
      <c r="A42" s="12" t="s">
        <v>343</v>
      </c>
      <c r="B42" s="118" t="s">
        <v>353</v>
      </c>
      <c r="C42" s="118" t="s">
        <v>252</v>
      </c>
      <c r="D42" s="9" t="s">
        <v>112</v>
      </c>
      <c r="E42" s="37">
        <v>36398</v>
      </c>
      <c r="F42" s="98">
        <v>1</v>
      </c>
      <c r="G42" s="128">
        <v>3</v>
      </c>
      <c r="H42" s="8">
        <v>2</v>
      </c>
      <c r="I42" s="8">
        <v>3</v>
      </c>
      <c r="J42" s="8">
        <v>4</v>
      </c>
      <c r="K42" s="99">
        <v>3</v>
      </c>
      <c r="L42" s="10">
        <v>3</v>
      </c>
      <c r="M42" s="13">
        <v>2</v>
      </c>
      <c r="N42" s="101">
        <v>3</v>
      </c>
      <c r="O42" s="99">
        <v>1</v>
      </c>
      <c r="P42" s="99">
        <v>3</v>
      </c>
      <c r="Q42" s="8">
        <v>1</v>
      </c>
      <c r="R42" s="20">
        <v>3</v>
      </c>
      <c r="S42" s="98" t="str">
        <f>IFERROR(IF(INDEX(#REF!,MATCH(#REF!,#REF!, 0))= "", "",INDEX(#REF!,MATCH(#REF!,#REF!, 0)) ), "")</f>
        <v/>
      </c>
      <c r="T42" s="8" t="str">
        <f>IFERROR(IF(INDEX(#REF!,MATCH(#REF!,#REF!, 0))= "", "",INDEX(#REF!,MATCH(#REF!,#REF!, 0)) ), "")</f>
        <v/>
      </c>
      <c r="U42" s="121" t="str">
        <f>IFERROR(IF(INDEX(#REF!,MATCH(#REF!,#REF!, 0))= "", "",INDEX(#REF!,MATCH(#REF!,#REF!, 0)) ), "")</f>
        <v/>
      </c>
      <c r="V42" s="101" t="str">
        <f>IFERROR(IF(INDEX(#REF!,MATCH(#REF!,#REF!, 0))= "", "",INDEX(#REF!,MATCH(#REF!,#REF!, 0)) ), "")</f>
        <v/>
      </c>
      <c r="W42" s="123" t="str">
        <f>IFERROR(IF(INDEX(#REF!,MATCH(#REF!,#REF!, 0))= "", "",INDEX(#REF!,MATCH(#REF!,#REF!, 0)) ), "")</f>
        <v/>
      </c>
      <c r="X42" s="119">
        <v>3</v>
      </c>
      <c r="Y42" s="120"/>
    </row>
    <row r="43" spans="1:25" x14ac:dyDescent="0.25">
      <c r="A43" s="12" t="s">
        <v>343</v>
      </c>
      <c r="B43" s="118" t="s">
        <v>353</v>
      </c>
      <c r="C43" s="118" t="s">
        <v>318</v>
      </c>
      <c r="D43" s="9" t="s">
        <v>178</v>
      </c>
      <c r="E43" s="37">
        <v>29256</v>
      </c>
      <c r="F43" s="98">
        <v>1</v>
      </c>
      <c r="G43" s="128">
        <v>3</v>
      </c>
      <c r="H43" s="8">
        <v>2</v>
      </c>
      <c r="I43" s="8">
        <v>3</v>
      </c>
      <c r="J43" s="8">
        <v>4</v>
      </c>
      <c r="K43" s="99">
        <v>3</v>
      </c>
      <c r="L43" s="10">
        <v>1</v>
      </c>
      <c r="M43" s="13">
        <v>1</v>
      </c>
      <c r="N43" s="101">
        <v>3</v>
      </c>
      <c r="O43" s="99">
        <v>2</v>
      </c>
      <c r="P43" s="99">
        <v>3</v>
      </c>
      <c r="Q43" s="8">
        <v>1</v>
      </c>
      <c r="R43" s="20">
        <v>3</v>
      </c>
      <c r="S43" s="98" t="str">
        <f>IFERROR(IF(INDEX(#REF!,MATCH(#REF!,#REF!, 0))= "", "",INDEX(#REF!,MATCH(#REF!,#REF!, 0)) ), "")</f>
        <v/>
      </c>
      <c r="T43" s="8" t="str">
        <f>IFERROR(IF(INDEX(#REF!,MATCH(#REF!,#REF!, 0))= "", "",INDEX(#REF!,MATCH(#REF!,#REF!, 0)) ), "")</f>
        <v/>
      </c>
      <c r="U43" s="121" t="str">
        <f>IFERROR(IF(INDEX(#REF!,MATCH(#REF!,#REF!, 0))= "", "",INDEX(#REF!,MATCH(#REF!,#REF!, 0)) ), "")</f>
        <v/>
      </c>
      <c r="V43" s="101" t="str">
        <f>IFERROR(IF(INDEX(#REF!,MATCH(#REF!,#REF!, 0))= "", "",INDEX(#REF!,MATCH(#REF!,#REF!, 0)) ), "")</f>
        <v/>
      </c>
      <c r="W43" s="42" t="str">
        <f>IFERROR(IF(INDEX(#REF!,MATCH(#REF!,#REF!, 0))= "", "",INDEX(#REF!,MATCH(#REF!,#REF!, 0)) ), "")</f>
        <v/>
      </c>
      <c r="X43" s="119">
        <v>3</v>
      </c>
      <c r="Y43" s="120"/>
    </row>
    <row r="44" spans="1:25" x14ac:dyDescent="0.25">
      <c r="A44" s="12" t="s">
        <v>343</v>
      </c>
      <c r="B44" s="118" t="s">
        <v>353</v>
      </c>
      <c r="C44" s="118" t="s">
        <v>306</v>
      </c>
      <c r="D44" s="9" t="s">
        <v>166</v>
      </c>
      <c r="E44" s="37">
        <v>46806</v>
      </c>
      <c r="F44" s="98">
        <v>1</v>
      </c>
      <c r="G44" s="128">
        <v>3</v>
      </c>
      <c r="H44" s="8">
        <v>2</v>
      </c>
      <c r="I44" s="8">
        <v>3</v>
      </c>
      <c r="J44" s="8">
        <v>3</v>
      </c>
      <c r="K44" s="99">
        <v>3</v>
      </c>
      <c r="L44" s="10">
        <v>3</v>
      </c>
      <c r="M44" s="13">
        <v>1</v>
      </c>
      <c r="N44" s="101">
        <v>3</v>
      </c>
      <c r="O44" s="99">
        <v>2</v>
      </c>
      <c r="P44" s="99">
        <v>1</v>
      </c>
      <c r="Q44" s="8">
        <v>1</v>
      </c>
      <c r="R44" s="20">
        <v>3</v>
      </c>
      <c r="S44" s="98" t="str">
        <f>IFERROR(IF(INDEX(#REF!,MATCH(#REF!,#REF!, 0))= "", "",INDEX(#REF!,MATCH(#REF!,#REF!, 0)) ), "")</f>
        <v/>
      </c>
      <c r="T44" s="8" t="str">
        <f>IFERROR(IF(INDEX(#REF!,MATCH(#REF!,#REF!, 0))= "", "",INDEX(#REF!,MATCH(#REF!,#REF!, 0)) ), "")</f>
        <v/>
      </c>
      <c r="U44" s="121" t="str">
        <f>IFERROR(IF(INDEX(#REF!,MATCH(#REF!,#REF!, 0))= "", "",INDEX(#REF!,MATCH(#REF!,#REF!, 0)) ), "")</f>
        <v/>
      </c>
      <c r="V44" s="101" t="str">
        <f>IFERROR(IF(INDEX(#REF!,MATCH(#REF!,#REF!, 0))= "", "",INDEX(#REF!,MATCH(#REF!,#REF!, 0)) ), "")</f>
        <v/>
      </c>
      <c r="W44" s="123" t="str">
        <f>IFERROR(IF(INDEX(#REF!,MATCH(#REF!,#REF!, 0))= "", "",INDEX(#REF!,MATCH(#REF!,#REF!, 0)) ), "")</f>
        <v/>
      </c>
      <c r="X44" s="119">
        <v>3</v>
      </c>
      <c r="Y44" s="120"/>
    </row>
    <row r="45" spans="1:25" x14ac:dyDescent="0.25">
      <c r="A45" s="12" t="s">
        <v>343</v>
      </c>
      <c r="B45" s="118" t="s">
        <v>353</v>
      </c>
      <c r="C45" s="118" t="s">
        <v>278</v>
      </c>
      <c r="D45" s="9" t="s">
        <v>138</v>
      </c>
      <c r="E45" s="37">
        <v>11101</v>
      </c>
      <c r="F45" s="98">
        <v>1</v>
      </c>
      <c r="G45" s="128">
        <v>3</v>
      </c>
      <c r="H45" s="8">
        <v>2</v>
      </c>
      <c r="I45" s="8">
        <v>3</v>
      </c>
      <c r="J45" s="8">
        <v>3</v>
      </c>
      <c r="K45" s="99">
        <v>4</v>
      </c>
      <c r="L45" s="10">
        <v>1</v>
      </c>
      <c r="M45" s="13">
        <v>1</v>
      </c>
      <c r="N45" s="101">
        <v>3</v>
      </c>
      <c r="O45" s="99">
        <v>1</v>
      </c>
      <c r="P45" s="99">
        <v>4</v>
      </c>
      <c r="Q45" s="8">
        <v>1</v>
      </c>
      <c r="R45" s="20">
        <v>3</v>
      </c>
      <c r="S45" s="98" t="str">
        <f>IFERROR(IF(INDEX(#REF!,MATCH(#REF!,#REF!, 0))= "", "",INDEX(#REF!,MATCH(#REF!,#REF!, 0)) ), "")</f>
        <v/>
      </c>
      <c r="T45" s="8" t="str">
        <f>IFERROR(IF(INDEX(#REF!,MATCH(#REF!,#REF!, 0))= "", "",INDEX(#REF!,MATCH(#REF!,#REF!, 0)) ), "")</f>
        <v/>
      </c>
      <c r="U45" s="121" t="str">
        <f>IFERROR(IF(INDEX(#REF!,MATCH(#REF!,#REF!, 0))= "", "",INDEX(#REF!,MATCH(#REF!,#REF!, 0)) ), "")</f>
        <v/>
      </c>
      <c r="V45" s="101" t="str">
        <f>IFERROR(IF(INDEX(#REF!,MATCH(#REF!,#REF!, 0))= "", "",INDEX(#REF!,MATCH(#REF!,#REF!, 0)) ), "")</f>
        <v/>
      </c>
      <c r="W45" s="42" t="str">
        <f>IFERROR(IF(INDEX(#REF!,MATCH(#REF!,#REF!, 0))= "", "",INDEX(#REF!,MATCH(#REF!,#REF!, 0)) ), "")</f>
        <v/>
      </c>
      <c r="X45" s="119">
        <v>3</v>
      </c>
      <c r="Y45" s="120"/>
    </row>
    <row r="46" spans="1:25" x14ac:dyDescent="0.25">
      <c r="A46" s="12" t="s">
        <v>343</v>
      </c>
      <c r="B46" s="118" t="s">
        <v>353</v>
      </c>
      <c r="C46" s="118" t="s">
        <v>225</v>
      </c>
      <c r="D46" s="9" t="s">
        <v>85</v>
      </c>
      <c r="E46" s="37">
        <v>70765</v>
      </c>
      <c r="F46" s="98">
        <v>1</v>
      </c>
      <c r="G46" s="128">
        <v>3</v>
      </c>
      <c r="H46" s="8">
        <v>2</v>
      </c>
      <c r="I46" s="8">
        <v>3</v>
      </c>
      <c r="J46" s="8">
        <v>4</v>
      </c>
      <c r="K46" s="99">
        <v>4</v>
      </c>
      <c r="L46" s="10">
        <v>3</v>
      </c>
      <c r="M46" s="13">
        <v>2</v>
      </c>
      <c r="N46" s="101">
        <v>3</v>
      </c>
      <c r="O46" s="99">
        <v>4</v>
      </c>
      <c r="P46" s="99">
        <v>4</v>
      </c>
      <c r="Q46" s="8">
        <v>3</v>
      </c>
      <c r="R46" s="20">
        <v>3</v>
      </c>
      <c r="S46" s="98" t="str">
        <f>IFERROR(IF(INDEX(#REF!,MATCH(#REF!,#REF!, 0))= "", "",INDEX(#REF!,MATCH(#REF!,#REF!, 0)) ), "")</f>
        <v/>
      </c>
      <c r="T46" s="8" t="str">
        <f>IFERROR(IF(INDEX(#REF!,MATCH(#REF!,#REF!, 0))= "", "",INDEX(#REF!,MATCH(#REF!,#REF!, 0)) ), "")</f>
        <v/>
      </c>
      <c r="U46" s="121" t="str">
        <f>IFERROR(IF(INDEX(#REF!,MATCH(#REF!,#REF!, 0))= "", "",INDEX(#REF!,MATCH(#REF!,#REF!, 0)) ), "")</f>
        <v/>
      </c>
      <c r="V46" s="101" t="str">
        <f>IFERROR(IF(INDEX(#REF!,MATCH(#REF!,#REF!, 0))= "", "",INDEX(#REF!,MATCH(#REF!,#REF!, 0)) ), "")</f>
        <v/>
      </c>
      <c r="W46" s="122" t="str">
        <f>IFERROR(IF(INDEX(#REF!,MATCH(#REF!,#REF!, 0))= "", "",INDEX(#REF!,MATCH(#REF!,#REF!, 0)) ), "")</f>
        <v/>
      </c>
      <c r="X46" s="119">
        <v>3</v>
      </c>
      <c r="Y46" s="120"/>
    </row>
    <row r="47" spans="1:25" x14ac:dyDescent="0.25">
      <c r="A47" s="12" t="s">
        <v>343</v>
      </c>
      <c r="B47" s="118" t="s">
        <v>353</v>
      </c>
      <c r="C47" s="118" t="s">
        <v>315</v>
      </c>
      <c r="D47" s="9" t="s">
        <v>175</v>
      </c>
      <c r="E47" s="37">
        <v>52745</v>
      </c>
      <c r="F47" s="98">
        <v>1</v>
      </c>
      <c r="G47" s="128">
        <v>3</v>
      </c>
      <c r="H47" s="8">
        <v>2</v>
      </c>
      <c r="I47" s="8">
        <v>3</v>
      </c>
      <c r="J47" s="8">
        <v>4</v>
      </c>
      <c r="K47" s="99">
        <v>3</v>
      </c>
      <c r="L47" s="10">
        <v>1</v>
      </c>
      <c r="M47" s="13">
        <v>1</v>
      </c>
      <c r="N47" s="101">
        <v>3</v>
      </c>
      <c r="O47" s="99">
        <v>2</v>
      </c>
      <c r="P47" s="99">
        <v>3</v>
      </c>
      <c r="Q47" s="8">
        <v>2</v>
      </c>
      <c r="R47" s="20">
        <v>3</v>
      </c>
      <c r="S47" s="98" t="str">
        <f>IFERROR(IF(INDEX(#REF!,MATCH(#REF!,#REF!, 0))= "", "",INDEX(#REF!,MATCH(#REF!,#REF!, 0)) ), "")</f>
        <v/>
      </c>
      <c r="T47" s="8" t="str">
        <f>IFERROR(IF(INDEX(#REF!,MATCH(#REF!,#REF!, 0))= "", "",INDEX(#REF!,MATCH(#REF!,#REF!, 0)) ), "")</f>
        <v/>
      </c>
      <c r="U47" s="121" t="str">
        <f>IFERROR(IF(INDEX(#REF!,MATCH(#REF!,#REF!, 0))= "", "",INDEX(#REF!,MATCH(#REF!,#REF!, 0)) ), "")</f>
        <v/>
      </c>
      <c r="V47" s="101" t="str">
        <f>IFERROR(IF(INDEX(#REF!,MATCH(#REF!,#REF!, 0))= "", "",INDEX(#REF!,MATCH(#REF!,#REF!, 0)) ), "")</f>
        <v/>
      </c>
      <c r="W47" s="122" t="str">
        <f>IFERROR(IF(INDEX(#REF!,MATCH(#REF!,#REF!, 0))= "", "",INDEX(#REF!,MATCH(#REF!,#REF!, 0)) ), "")</f>
        <v/>
      </c>
      <c r="X47" s="119">
        <v>3</v>
      </c>
      <c r="Y47" s="120"/>
    </row>
    <row r="48" spans="1:25" x14ac:dyDescent="0.25">
      <c r="A48" s="12" t="s">
        <v>343</v>
      </c>
      <c r="B48" s="118" t="s">
        <v>353</v>
      </c>
      <c r="C48" s="118" t="s">
        <v>284</v>
      </c>
      <c r="D48" s="9" t="s">
        <v>144</v>
      </c>
      <c r="E48" s="37">
        <v>90050</v>
      </c>
      <c r="F48" s="98">
        <v>1</v>
      </c>
      <c r="G48" s="128">
        <v>3</v>
      </c>
      <c r="H48" s="8">
        <v>2</v>
      </c>
      <c r="I48" s="8">
        <v>3</v>
      </c>
      <c r="J48" s="8">
        <v>4</v>
      </c>
      <c r="K48" s="99">
        <v>3</v>
      </c>
      <c r="L48" s="10">
        <v>3</v>
      </c>
      <c r="M48" s="13">
        <v>2</v>
      </c>
      <c r="N48" s="101">
        <v>3</v>
      </c>
      <c r="O48" s="99">
        <v>2</v>
      </c>
      <c r="P48" s="99">
        <v>3</v>
      </c>
      <c r="Q48" s="8">
        <v>2</v>
      </c>
      <c r="R48" s="20">
        <v>3</v>
      </c>
      <c r="S48" s="98" t="str">
        <f>IFERROR(IF(INDEX(#REF!,MATCH(#REF!,#REF!, 0))= "", "",INDEX(#REF!,MATCH(#REF!,#REF!, 0)) ), "")</f>
        <v/>
      </c>
      <c r="T48" s="8" t="str">
        <f>IFERROR(IF(INDEX(#REF!,MATCH(#REF!,#REF!, 0))= "", "",INDEX(#REF!,MATCH(#REF!,#REF!, 0)) ), "")</f>
        <v/>
      </c>
      <c r="U48" s="121" t="str">
        <f>IFERROR(IF(INDEX(#REF!,MATCH(#REF!,#REF!, 0))= "", "",INDEX(#REF!,MATCH(#REF!,#REF!, 0)) ), "")</f>
        <v/>
      </c>
      <c r="V48" s="101" t="str">
        <f>IFERROR(IF(INDEX(#REF!,MATCH(#REF!,#REF!, 0))= "", "",INDEX(#REF!,MATCH(#REF!,#REF!, 0)) ), "")</f>
        <v/>
      </c>
      <c r="W48" s="123" t="str">
        <f>IFERROR(IF(INDEX(#REF!,MATCH(#REF!,#REF!, 0))= "", "",INDEX(#REF!,MATCH(#REF!,#REF!, 0)) ), "")</f>
        <v/>
      </c>
      <c r="X48" s="119">
        <v>3</v>
      </c>
      <c r="Y48" s="120"/>
    </row>
    <row r="49" spans="1:25" x14ac:dyDescent="0.25">
      <c r="A49" s="12" t="s">
        <v>343</v>
      </c>
      <c r="B49" s="118" t="s">
        <v>353</v>
      </c>
      <c r="C49" s="118" t="s">
        <v>218</v>
      </c>
      <c r="D49" s="9" t="s">
        <v>78</v>
      </c>
      <c r="E49" s="37">
        <v>22052</v>
      </c>
      <c r="F49" s="98">
        <v>1</v>
      </c>
      <c r="G49" s="128">
        <v>3</v>
      </c>
      <c r="H49" s="8">
        <v>2</v>
      </c>
      <c r="I49" s="8">
        <v>3</v>
      </c>
      <c r="J49" s="8">
        <v>4</v>
      </c>
      <c r="K49" s="99">
        <v>3</v>
      </c>
      <c r="L49" s="10">
        <v>3</v>
      </c>
      <c r="M49" s="13">
        <v>1</v>
      </c>
      <c r="N49" s="101">
        <v>3</v>
      </c>
      <c r="O49" s="99">
        <v>1</v>
      </c>
      <c r="P49" s="99">
        <v>3</v>
      </c>
      <c r="Q49" s="8">
        <v>1</v>
      </c>
      <c r="R49" s="20">
        <v>3</v>
      </c>
      <c r="S49" s="98" t="str">
        <f>IFERROR(IF(INDEX(#REF!,MATCH(#REF!,#REF!, 0))= "", "",INDEX(#REF!,MATCH(#REF!,#REF!, 0)) ), "")</f>
        <v/>
      </c>
      <c r="T49" s="8" t="str">
        <f>IFERROR(IF(INDEX(#REF!,MATCH(#REF!,#REF!, 0))= "", "",INDEX(#REF!,MATCH(#REF!,#REF!, 0)) ), "")</f>
        <v/>
      </c>
      <c r="U49" s="121" t="str">
        <f>IFERROR(IF(INDEX(#REF!,MATCH(#REF!,#REF!, 0))= "", "",INDEX(#REF!,MATCH(#REF!,#REF!, 0)) ), "")</f>
        <v/>
      </c>
      <c r="V49" s="101" t="str">
        <f>IFERROR(IF(INDEX(#REF!,MATCH(#REF!,#REF!, 0))= "", "",INDEX(#REF!,MATCH(#REF!,#REF!, 0)) ), "")</f>
        <v/>
      </c>
      <c r="W49" s="123" t="str">
        <f>IFERROR(IF(INDEX(#REF!,MATCH(#REF!,#REF!, 0))= "", "",INDEX(#REF!,MATCH(#REF!,#REF!, 0)) ), "")</f>
        <v/>
      </c>
      <c r="X49" s="119">
        <v>3</v>
      </c>
      <c r="Y49" s="120"/>
    </row>
    <row r="50" spans="1:25" x14ac:dyDescent="0.25">
      <c r="A50" s="12" t="s">
        <v>343</v>
      </c>
      <c r="B50" s="118" t="s">
        <v>353</v>
      </c>
      <c r="C50" s="118" t="s">
        <v>309</v>
      </c>
      <c r="D50" s="9" t="s">
        <v>169</v>
      </c>
      <c r="E50" s="37">
        <v>76929</v>
      </c>
      <c r="F50" s="98">
        <v>2</v>
      </c>
      <c r="G50" s="128">
        <v>3</v>
      </c>
      <c r="H50" s="8">
        <v>2</v>
      </c>
      <c r="I50" s="8">
        <v>3</v>
      </c>
      <c r="J50" s="8">
        <v>4</v>
      </c>
      <c r="K50" s="99">
        <v>3</v>
      </c>
      <c r="L50" s="10">
        <v>3</v>
      </c>
      <c r="M50" s="13">
        <v>3</v>
      </c>
      <c r="N50" s="101">
        <v>3</v>
      </c>
      <c r="O50" s="99">
        <v>2</v>
      </c>
      <c r="P50" s="99">
        <v>3</v>
      </c>
      <c r="Q50" s="8">
        <v>1</v>
      </c>
      <c r="R50" s="20">
        <v>3</v>
      </c>
      <c r="S50" s="98" t="str">
        <f>IFERROR(IF(INDEX(#REF!,MATCH(#REF!,#REF!, 0))= "", "",INDEX(#REF!,MATCH(#REF!,#REF!, 0)) ), "")</f>
        <v/>
      </c>
      <c r="T50" s="8" t="str">
        <f>IFERROR(IF(INDEX(#REF!,MATCH(#REF!,#REF!, 0))= "", "",INDEX(#REF!,MATCH(#REF!,#REF!, 0)) ), "")</f>
        <v/>
      </c>
      <c r="U50" s="121" t="str">
        <f>IFERROR(IF(INDEX(#REF!,MATCH(#REF!,#REF!, 0))= "", "",INDEX(#REF!,MATCH(#REF!,#REF!, 0)) ), "")</f>
        <v/>
      </c>
      <c r="V50" s="101" t="str">
        <f>IFERROR(IF(INDEX(#REF!,MATCH(#REF!,#REF!, 0))= "", "",INDEX(#REF!,MATCH(#REF!,#REF!, 0)) ), "")</f>
        <v/>
      </c>
      <c r="W50" s="42" t="str">
        <f>IFERROR(IF(INDEX(#REF!,MATCH(#REF!,#REF!, 0))= "", "",INDEX(#REF!,MATCH(#REF!,#REF!, 0)) ), "")</f>
        <v/>
      </c>
      <c r="X50" s="119">
        <v>3</v>
      </c>
      <c r="Y50" s="120"/>
    </row>
    <row r="51" spans="1:25" x14ac:dyDescent="0.25">
      <c r="A51" s="12" t="s">
        <v>343</v>
      </c>
      <c r="B51" s="118" t="s">
        <v>353</v>
      </c>
      <c r="C51" s="118" t="s">
        <v>307</v>
      </c>
      <c r="D51" s="9" t="s">
        <v>167</v>
      </c>
      <c r="E51" s="37">
        <v>60535</v>
      </c>
      <c r="F51" s="98">
        <v>2</v>
      </c>
      <c r="G51" s="128">
        <v>3</v>
      </c>
      <c r="H51" s="8">
        <v>2</v>
      </c>
      <c r="I51" s="8">
        <v>3</v>
      </c>
      <c r="J51" s="8">
        <v>4</v>
      </c>
      <c r="K51" s="99">
        <v>4</v>
      </c>
      <c r="L51" s="10">
        <v>3</v>
      </c>
      <c r="M51" s="13">
        <v>2</v>
      </c>
      <c r="N51" s="101">
        <v>3</v>
      </c>
      <c r="O51" s="99">
        <v>4</v>
      </c>
      <c r="P51" s="99">
        <v>3</v>
      </c>
      <c r="Q51" s="8">
        <v>1</v>
      </c>
      <c r="R51" s="20">
        <v>3</v>
      </c>
      <c r="S51" s="98" t="str">
        <f>IFERROR(IF(INDEX(#REF!,MATCH(#REF!,#REF!, 0))= "", "",INDEX(#REF!,MATCH(#REF!,#REF!, 0)) ), "")</f>
        <v/>
      </c>
      <c r="T51" s="8" t="str">
        <f>IFERROR(IF(INDEX(#REF!,MATCH(#REF!,#REF!, 0))= "", "",INDEX(#REF!,MATCH(#REF!,#REF!, 0)) ), "")</f>
        <v/>
      </c>
      <c r="U51" s="121" t="str">
        <f>IFERROR(IF(INDEX(#REF!,MATCH(#REF!,#REF!, 0))= "", "",INDEX(#REF!,MATCH(#REF!,#REF!, 0)) ), "")</f>
        <v/>
      </c>
      <c r="V51" s="101" t="str">
        <f>IFERROR(IF(INDEX(#REF!,MATCH(#REF!,#REF!, 0))= "", "",INDEX(#REF!,MATCH(#REF!,#REF!, 0)) ), "")</f>
        <v/>
      </c>
      <c r="W51" s="122" t="str">
        <f>IFERROR(IF(INDEX(#REF!,MATCH(#REF!,#REF!, 0))= "", "",INDEX(#REF!,MATCH(#REF!,#REF!, 0)) ), "")</f>
        <v/>
      </c>
      <c r="X51" s="119">
        <v>3</v>
      </c>
      <c r="Y51" s="120"/>
    </row>
    <row r="52" spans="1:25" x14ac:dyDescent="0.25">
      <c r="A52" s="12" t="s">
        <v>351</v>
      </c>
      <c r="B52" s="118" t="s">
        <v>361</v>
      </c>
      <c r="C52" s="118" t="s">
        <v>257</v>
      </c>
      <c r="D52" s="9" t="s">
        <v>117</v>
      </c>
      <c r="E52" s="37">
        <v>40129</v>
      </c>
      <c r="F52" s="98">
        <v>1</v>
      </c>
      <c r="G52" s="128">
        <v>3</v>
      </c>
      <c r="H52" s="8">
        <v>2</v>
      </c>
      <c r="I52" s="8">
        <v>3</v>
      </c>
      <c r="J52" s="8">
        <v>3</v>
      </c>
      <c r="K52" s="99">
        <v>3</v>
      </c>
      <c r="L52" s="10">
        <v>3</v>
      </c>
      <c r="M52" s="13">
        <v>1</v>
      </c>
      <c r="N52" s="101">
        <v>3</v>
      </c>
      <c r="O52" s="99">
        <v>2</v>
      </c>
      <c r="P52" s="99">
        <v>3</v>
      </c>
      <c r="Q52" s="8">
        <v>1</v>
      </c>
      <c r="R52" s="20">
        <v>3</v>
      </c>
      <c r="S52" s="98" t="str">
        <f>IFERROR(IF(INDEX(#REF!,MATCH(#REF!,#REF!, 0))= "", "",INDEX(#REF!,MATCH(#REF!,#REF!, 0)) ), "")</f>
        <v/>
      </c>
      <c r="T52" s="8" t="str">
        <f>IFERROR(IF(INDEX(#REF!,MATCH(#REF!,#REF!, 0))= "", "",INDEX(#REF!,MATCH(#REF!,#REF!, 0)) ), "")</f>
        <v/>
      </c>
      <c r="U52" s="121" t="str">
        <f>IFERROR(IF(INDEX(#REF!,MATCH(#REF!,#REF!, 0))= "", "",INDEX(#REF!,MATCH(#REF!,#REF!, 0)) ), "")</f>
        <v/>
      </c>
      <c r="V52" s="101" t="str">
        <f>IFERROR(IF(INDEX(#REF!,MATCH(#REF!,#REF!, 0))= "", "",INDEX(#REF!,MATCH(#REF!,#REF!, 0)) ), "")</f>
        <v/>
      </c>
      <c r="W52" s="122" t="str">
        <f>IFERROR(IF(INDEX(#REF!,MATCH(#REF!,#REF!, 0))= "", "",INDEX(#REF!,MATCH(#REF!,#REF!, 0)) ), "")</f>
        <v/>
      </c>
      <c r="X52" s="119">
        <v>3</v>
      </c>
      <c r="Y52" s="120"/>
    </row>
    <row r="53" spans="1:25" x14ac:dyDescent="0.25">
      <c r="A53" s="12" t="s">
        <v>351</v>
      </c>
      <c r="B53" s="118" t="s">
        <v>361</v>
      </c>
      <c r="C53" s="118" t="s">
        <v>254</v>
      </c>
      <c r="D53" s="9" t="s">
        <v>114</v>
      </c>
      <c r="E53" s="37">
        <v>17054</v>
      </c>
      <c r="F53" s="98">
        <v>1</v>
      </c>
      <c r="G53" s="128">
        <v>3</v>
      </c>
      <c r="H53" s="8">
        <v>2</v>
      </c>
      <c r="I53" s="8">
        <v>3</v>
      </c>
      <c r="J53" s="8">
        <v>3</v>
      </c>
      <c r="K53" s="99">
        <v>3</v>
      </c>
      <c r="L53" s="10">
        <v>3</v>
      </c>
      <c r="M53" s="13">
        <v>1</v>
      </c>
      <c r="N53" s="101">
        <v>3</v>
      </c>
      <c r="O53" s="99">
        <v>2</v>
      </c>
      <c r="P53" s="99">
        <v>3</v>
      </c>
      <c r="Q53" s="8">
        <v>1</v>
      </c>
      <c r="R53" s="20">
        <v>3</v>
      </c>
      <c r="S53" s="98" t="str">
        <f>IFERROR(IF(INDEX(#REF!,MATCH(#REF!,#REF!, 0))= "", "",INDEX(#REF!,MATCH(#REF!,#REF!, 0)) ), "")</f>
        <v/>
      </c>
      <c r="T53" s="8" t="str">
        <f>IFERROR(IF(INDEX(#REF!,MATCH(#REF!,#REF!, 0))= "", "",INDEX(#REF!,MATCH(#REF!,#REF!, 0)) ), "")</f>
        <v/>
      </c>
      <c r="U53" s="121" t="str">
        <f>IFERROR(IF(INDEX(#REF!,MATCH(#REF!,#REF!, 0))= "", "",INDEX(#REF!,MATCH(#REF!,#REF!, 0)) ), "")</f>
        <v/>
      </c>
      <c r="V53" s="101" t="str">
        <f>IFERROR(IF(INDEX(#REF!,MATCH(#REF!,#REF!, 0))= "", "",INDEX(#REF!,MATCH(#REF!,#REF!, 0)) ), "")</f>
        <v/>
      </c>
      <c r="W53" s="122" t="str">
        <f>IFERROR(IF(INDEX(#REF!,MATCH(#REF!,#REF!, 0))= "", "",INDEX(#REF!,MATCH(#REF!,#REF!, 0)) ), "")</f>
        <v/>
      </c>
      <c r="X53" s="119">
        <v>3</v>
      </c>
      <c r="Y53" s="120"/>
    </row>
    <row r="54" spans="1:25" x14ac:dyDescent="0.25">
      <c r="A54" s="12" t="s">
        <v>351</v>
      </c>
      <c r="B54" s="118" t="s">
        <v>361</v>
      </c>
      <c r="C54" s="118" t="s">
        <v>299</v>
      </c>
      <c r="D54" s="9" t="s">
        <v>159</v>
      </c>
      <c r="E54" s="37">
        <v>13700</v>
      </c>
      <c r="F54" s="98">
        <v>1</v>
      </c>
      <c r="G54" s="128">
        <v>3</v>
      </c>
      <c r="H54" s="8">
        <v>2</v>
      </c>
      <c r="I54" s="8">
        <v>3</v>
      </c>
      <c r="J54" s="8">
        <v>3</v>
      </c>
      <c r="K54" s="99">
        <v>3</v>
      </c>
      <c r="L54" s="10">
        <v>3</v>
      </c>
      <c r="M54" s="13">
        <v>1</v>
      </c>
      <c r="N54" s="101">
        <v>3</v>
      </c>
      <c r="O54" s="99">
        <v>2</v>
      </c>
      <c r="P54" s="99">
        <v>3</v>
      </c>
      <c r="Q54" s="8">
        <v>1</v>
      </c>
      <c r="R54" s="20">
        <v>3</v>
      </c>
      <c r="S54" s="98" t="str">
        <f>IFERROR(IF(INDEX(#REF!,MATCH(#REF!,#REF!, 0))= "", "",INDEX(#REF!,MATCH(#REF!,#REF!, 0)) ), "")</f>
        <v/>
      </c>
      <c r="T54" s="8" t="str">
        <f>IFERROR(IF(INDEX(#REF!,MATCH(#REF!,#REF!, 0))= "", "",INDEX(#REF!,MATCH(#REF!,#REF!, 0)) ), "")</f>
        <v/>
      </c>
      <c r="U54" s="121" t="str">
        <f>IFERROR(IF(INDEX(#REF!,MATCH(#REF!,#REF!, 0))= "", "",INDEX(#REF!,MATCH(#REF!,#REF!, 0)) ), "")</f>
        <v/>
      </c>
      <c r="V54" s="101" t="str">
        <f>IFERROR(IF(INDEX(#REF!,MATCH(#REF!,#REF!, 0))= "", "",INDEX(#REF!,MATCH(#REF!,#REF!, 0)) ), "")</f>
        <v/>
      </c>
      <c r="W54" s="122" t="str">
        <f>IFERROR(IF(INDEX(#REF!,MATCH(#REF!,#REF!, 0))= "", "",INDEX(#REF!,MATCH(#REF!,#REF!, 0)) ), "")</f>
        <v/>
      </c>
      <c r="X54" s="119">
        <v>3</v>
      </c>
      <c r="Y54" s="120"/>
    </row>
    <row r="55" spans="1:25" x14ac:dyDescent="0.25">
      <c r="A55" s="12" t="s">
        <v>351</v>
      </c>
      <c r="B55" s="118" t="s">
        <v>361</v>
      </c>
      <c r="C55" s="118" t="s">
        <v>297</v>
      </c>
      <c r="D55" s="9" t="s">
        <v>157</v>
      </c>
      <c r="E55" s="37">
        <v>123320</v>
      </c>
      <c r="F55" s="98">
        <v>1</v>
      </c>
      <c r="G55" s="128">
        <v>3</v>
      </c>
      <c r="H55" s="8">
        <v>3</v>
      </c>
      <c r="I55" s="8">
        <v>3</v>
      </c>
      <c r="J55" s="8">
        <v>4</v>
      </c>
      <c r="K55" s="99">
        <v>4</v>
      </c>
      <c r="L55" s="10">
        <v>3</v>
      </c>
      <c r="M55" s="13">
        <v>2</v>
      </c>
      <c r="N55" s="101">
        <v>3</v>
      </c>
      <c r="O55" s="99">
        <v>4</v>
      </c>
      <c r="P55" s="99">
        <v>3</v>
      </c>
      <c r="Q55" s="8">
        <v>3</v>
      </c>
      <c r="R55" s="20">
        <v>3</v>
      </c>
      <c r="S55" s="98" t="str">
        <f>IFERROR(IF(INDEX(#REF!,MATCH(#REF!,#REF!, 0))= "", "",INDEX(#REF!,MATCH(#REF!,#REF!, 0)) ), "")</f>
        <v/>
      </c>
      <c r="T55" s="8" t="str">
        <f>IFERROR(IF(INDEX(#REF!,MATCH(#REF!,#REF!, 0))= "", "",INDEX(#REF!,MATCH(#REF!,#REF!, 0)) ), "")</f>
        <v/>
      </c>
      <c r="U55" s="121" t="str">
        <f>IFERROR(IF(INDEX(#REF!,MATCH(#REF!,#REF!, 0))= "", "",INDEX(#REF!,MATCH(#REF!,#REF!, 0)) ), "")</f>
        <v/>
      </c>
      <c r="V55" s="101" t="str">
        <f>IFERROR(IF(INDEX(#REF!,MATCH(#REF!,#REF!, 0))= "", "",INDEX(#REF!,MATCH(#REF!,#REF!, 0)) ), "")</f>
        <v/>
      </c>
      <c r="W55" s="123" t="str">
        <f>IFERROR(IF(INDEX(#REF!,MATCH(#REF!,#REF!, 0))= "", "",INDEX(#REF!,MATCH(#REF!,#REF!, 0)) ), "")</f>
        <v/>
      </c>
      <c r="X55" s="119">
        <v>3</v>
      </c>
      <c r="Y55" s="120"/>
    </row>
    <row r="56" spans="1:25" x14ac:dyDescent="0.25">
      <c r="A56" s="12" t="s">
        <v>351</v>
      </c>
      <c r="B56" s="118" t="s">
        <v>361</v>
      </c>
      <c r="C56" s="118" t="s">
        <v>230</v>
      </c>
      <c r="D56" s="9" t="s">
        <v>90</v>
      </c>
      <c r="E56" s="37">
        <v>22559</v>
      </c>
      <c r="F56" s="98">
        <v>1</v>
      </c>
      <c r="G56" s="128">
        <v>3</v>
      </c>
      <c r="H56" s="8">
        <v>2</v>
      </c>
      <c r="I56" s="8">
        <v>3</v>
      </c>
      <c r="J56" s="8">
        <v>3</v>
      </c>
      <c r="K56" s="99">
        <v>3</v>
      </c>
      <c r="L56" s="10">
        <v>1</v>
      </c>
      <c r="M56" s="13">
        <v>1</v>
      </c>
      <c r="N56" s="101">
        <v>3</v>
      </c>
      <c r="O56" s="99">
        <v>3</v>
      </c>
      <c r="P56" s="99">
        <v>3</v>
      </c>
      <c r="Q56" s="8">
        <v>1</v>
      </c>
      <c r="R56" s="20">
        <v>3</v>
      </c>
      <c r="S56" s="98" t="str">
        <f>IFERROR(IF(INDEX(#REF!,MATCH(#REF!,#REF!, 0))= "", "",INDEX(#REF!,MATCH(#REF!,#REF!, 0)) ), "")</f>
        <v/>
      </c>
      <c r="T56" s="8" t="str">
        <f>IFERROR(IF(INDEX(#REF!,MATCH(#REF!,#REF!, 0))= "", "",INDEX(#REF!,MATCH(#REF!,#REF!, 0)) ), "")</f>
        <v/>
      </c>
      <c r="U56" s="121" t="str">
        <f>IFERROR(IF(INDEX(#REF!,MATCH(#REF!,#REF!, 0))= "", "",INDEX(#REF!,MATCH(#REF!,#REF!, 0)) ), "")</f>
        <v/>
      </c>
      <c r="V56" s="101" t="str">
        <f>IFERROR(IF(INDEX(#REF!,MATCH(#REF!,#REF!, 0))= "", "",INDEX(#REF!,MATCH(#REF!,#REF!, 0)) ), "")</f>
        <v/>
      </c>
      <c r="W56" s="42" t="str">
        <f>IFERROR(IF(INDEX(#REF!,MATCH(#REF!,#REF!, 0))= "", "",INDEX(#REF!,MATCH(#REF!,#REF!, 0)) ), "")</f>
        <v/>
      </c>
      <c r="X56" s="119">
        <v>3</v>
      </c>
      <c r="Y56" s="120"/>
    </row>
    <row r="57" spans="1:25" x14ac:dyDescent="0.25">
      <c r="A57" s="12" t="s">
        <v>351</v>
      </c>
      <c r="B57" s="118" t="s">
        <v>361</v>
      </c>
      <c r="C57" s="118" t="s">
        <v>295</v>
      </c>
      <c r="D57" s="9" t="s">
        <v>155</v>
      </c>
      <c r="E57" s="37">
        <v>24682</v>
      </c>
      <c r="F57" s="98">
        <v>1</v>
      </c>
      <c r="G57" s="128">
        <v>3</v>
      </c>
      <c r="H57" s="8">
        <v>2</v>
      </c>
      <c r="I57" s="8">
        <v>3</v>
      </c>
      <c r="J57" s="8">
        <v>3</v>
      </c>
      <c r="K57" s="99">
        <v>3</v>
      </c>
      <c r="L57" s="10">
        <v>3</v>
      </c>
      <c r="M57" s="13">
        <v>1</v>
      </c>
      <c r="N57" s="101">
        <v>3</v>
      </c>
      <c r="O57" s="99">
        <v>3</v>
      </c>
      <c r="P57" s="99">
        <v>3</v>
      </c>
      <c r="Q57" s="8">
        <v>1</v>
      </c>
      <c r="R57" s="20">
        <v>3</v>
      </c>
      <c r="S57" s="98" t="str">
        <f>IFERROR(IF(INDEX(#REF!,MATCH(#REF!,#REF!, 0))= "", "",INDEX(#REF!,MATCH(#REF!,#REF!, 0)) ), "")</f>
        <v/>
      </c>
      <c r="T57" s="8" t="str">
        <f>IFERROR(IF(INDEX(#REF!,MATCH(#REF!,#REF!, 0))= "", "",INDEX(#REF!,MATCH(#REF!,#REF!, 0)) ), "")</f>
        <v/>
      </c>
      <c r="U57" s="121" t="str">
        <f>IFERROR(IF(INDEX(#REF!,MATCH(#REF!,#REF!, 0))= "", "",INDEX(#REF!,MATCH(#REF!,#REF!, 0)) ), "")</f>
        <v/>
      </c>
      <c r="V57" s="101" t="str">
        <f>IFERROR(IF(INDEX(#REF!,MATCH(#REF!,#REF!, 0))= "", "",INDEX(#REF!,MATCH(#REF!,#REF!, 0)) ), "")</f>
        <v/>
      </c>
      <c r="W57" s="123" t="str">
        <f>IFERROR(IF(INDEX(#REF!,MATCH(#REF!,#REF!, 0))= "", "",INDEX(#REF!,MATCH(#REF!,#REF!, 0)) ), "")</f>
        <v/>
      </c>
      <c r="X57" s="119">
        <v>3</v>
      </c>
      <c r="Y57" s="120"/>
    </row>
    <row r="58" spans="1:25" x14ac:dyDescent="0.25">
      <c r="A58" s="12" t="s">
        <v>351</v>
      </c>
      <c r="B58" s="118" t="s">
        <v>361</v>
      </c>
      <c r="C58" s="118" t="s">
        <v>339</v>
      </c>
      <c r="D58" s="9" t="s">
        <v>199</v>
      </c>
      <c r="E58" s="37">
        <v>57212</v>
      </c>
      <c r="F58" s="98">
        <v>1</v>
      </c>
      <c r="G58" s="128">
        <v>3</v>
      </c>
      <c r="H58" s="8">
        <v>2</v>
      </c>
      <c r="I58" s="8">
        <v>3</v>
      </c>
      <c r="J58" s="8">
        <v>4</v>
      </c>
      <c r="K58" s="99">
        <v>3</v>
      </c>
      <c r="L58" s="10">
        <v>3</v>
      </c>
      <c r="M58" s="13">
        <v>2</v>
      </c>
      <c r="N58" s="101">
        <v>3</v>
      </c>
      <c r="O58" s="99">
        <v>2</v>
      </c>
      <c r="P58" s="99">
        <v>3</v>
      </c>
      <c r="Q58" s="8">
        <v>1</v>
      </c>
      <c r="R58" s="20">
        <v>3</v>
      </c>
      <c r="S58" s="98" t="str">
        <f>IFERROR(IF(INDEX(#REF!,MATCH(#REF!,#REF!, 0))= "", "",INDEX(#REF!,MATCH(#REF!,#REF!, 0)) ), "")</f>
        <v/>
      </c>
      <c r="T58" s="8" t="str">
        <f>IFERROR(IF(INDEX(#REF!,MATCH(#REF!,#REF!, 0))= "", "",INDEX(#REF!,MATCH(#REF!,#REF!, 0)) ), "")</f>
        <v/>
      </c>
      <c r="U58" s="121" t="str">
        <f>IFERROR(IF(INDEX(#REF!,MATCH(#REF!,#REF!, 0))= "", "",INDEX(#REF!,MATCH(#REF!,#REF!, 0)) ), "")</f>
        <v/>
      </c>
      <c r="V58" s="101" t="str">
        <f>IFERROR(IF(INDEX(#REF!,MATCH(#REF!,#REF!, 0))= "", "",INDEX(#REF!,MATCH(#REF!,#REF!, 0)) ), "")</f>
        <v/>
      </c>
      <c r="W58" s="123" t="str">
        <f>IFERROR(IF(INDEX(#REF!,MATCH(#REF!,#REF!, 0))= "", "",INDEX(#REF!,MATCH(#REF!,#REF!, 0)) ), "")</f>
        <v/>
      </c>
      <c r="X58" s="119">
        <v>3</v>
      </c>
      <c r="Y58" s="120"/>
    </row>
    <row r="59" spans="1:25" x14ac:dyDescent="0.25">
      <c r="A59" s="12" t="s">
        <v>351</v>
      </c>
      <c r="B59" s="118" t="s">
        <v>361</v>
      </c>
      <c r="C59" s="118" t="s">
        <v>327</v>
      </c>
      <c r="D59" s="9" t="s">
        <v>187</v>
      </c>
      <c r="E59" s="37">
        <v>32812</v>
      </c>
      <c r="F59" s="98">
        <v>1</v>
      </c>
      <c r="G59" s="128">
        <v>3</v>
      </c>
      <c r="H59" s="8">
        <v>2</v>
      </c>
      <c r="I59" s="8">
        <v>3</v>
      </c>
      <c r="J59" s="8">
        <v>4</v>
      </c>
      <c r="K59" s="99">
        <v>3</v>
      </c>
      <c r="L59" s="10">
        <v>1</v>
      </c>
      <c r="M59" s="13">
        <v>2</v>
      </c>
      <c r="N59" s="101">
        <v>3</v>
      </c>
      <c r="O59" s="99">
        <v>2</v>
      </c>
      <c r="P59" s="99">
        <v>3</v>
      </c>
      <c r="Q59" s="8">
        <v>1</v>
      </c>
      <c r="R59" s="20">
        <v>3</v>
      </c>
      <c r="S59" s="98" t="str">
        <f>IFERROR(IF(INDEX(#REF!,MATCH(#REF!,#REF!, 0))= "", "",INDEX(#REF!,MATCH(#REF!,#REF!, 0)) ), "")</f>
        <v/>
      </c>
      <c r="T59" s="8" t="str">
        <f>IFERROR(IF(INDEX(#REF!,MATCH(#REF!,#REF!, 0))= "", "",INDEX(#REF!,MATCH(#REF!,#REF!, 0)) ), "")</f>
        <v/>
      </c>
      <c r="U59" s="121" t="str">
        <f>IFERROR(IF(INDEX(#REF!,MATCH(#REF!,#REF!, 0))= "", "",INDEX(#REF!,MATCH(#REF!,#REF!, 0)) ), "")</f>
        <v/>
      </c>
      <c r="V59" s="101" t="str">
        <f>IFERROR(IF(INDEX(#REF!,MATCH(#REF!,#REF!, 0))= "", "",INDEX(#REF!,MATCH(#REF!,#REF!, 0)) ), "")</f>
        <v/>
      </c>
      <c r="W59" s="42" t="str">
        <f>IFERROR(IF(INDEX(#REF!,MATCH(#REF!,#REF!, 0))= "", "",INDEX(#REF!,MATCH(#REF!,#REF!, 0)) ), "")</f>
        <v/>
      </c>
      <c r="X59" s="119">
        <v>3</v>
      </c>
      <c r="Y59" s="120"/>
    </row>
    <row r="60" spans="1:25" x14ac:dyDescent="0.25">
      <c r="A60" s="12" t="s">
        <v>351</v>
      </c>
      <c r="B60" s="118" t="s">
        <v>361</v>
      </c>
      <c r="C60" s="118" t="s">
        <v>332</v>
      </c>
      <c r="D60" s="9" t="s">
        <v>192</v>
      </c>
      <c r="E60" s="37">
        <v>35373</v>
      </c>
      <c r="F60" s="98">
        <v>1</v>
      </c>
      <c r="G60" s="128">
        <v>3</v>
      </c>
      <c r="H60" s="8">
        <v>2</v>
      </c>
      <c r="I60" s="8">
        <v>3</v>
      </c>
      <c r="J60" s="8">
        <v>3</v>
      </c>
      <c r="K60" s="99">
        <v>3</v>
      </c>
      <c r="L60" s="10">
        <v>3</v>
      </c>
      <c r="M60" s="13">
        <v>1</v>
      </c>
      <c r="N60" s="101">
        <v>3</v>
      </c>
      <c r="O60" s="99">
        <v>2</v>
      </c>
      <c r="P60" s="99">
        <v>3</v>
      </c>
      <c r="Q60" s="8">
        <v>1</v>
      </c>
      <c r="R60" s="20">
        <v>3</v>
      </c>
      <c r="S60" s="98" t="str">
        <f>IFERROR(IF(INDEX(#REF!,MATCH(#REF!,#REF!, 0))= "", "",INDEX(#REF!,MATCH(#REF!,#REF!, 0)) ), "")</f>
        <v/>
      </c>
      <c r="T60" s="8" t="str">
        <f>IFERROR(IF(INDEX(#REF!,MATCH(#REF!,#REF!, 0))= "", "",INDEX(#REF!,MATCH(#REF!,#REF!, 0)) ), "")</f>
        <v/>
      </c>
      <c r="U60" s="121" t="str">
        <f>IFERROR(IF(INDEX(#REF!,MATCH(#REF!,#REF!, 0))= "", "",INDEX(#REF!,MATCH(#REF!,#REF!, 0)) ), "")</f>
        <v/>
      </c>
      <c r="V60" s="101" t="str">
        <f>IFERROR(IF(INDEX(#REF!,MATCH(#REF!,#REF!, 0))= "", "",INDEX(#REF!,MATCH(#REF!,#REF!, 0)) ), "")</f>
        <v/>
      </c>
      <c r="W60" s="123" t="str">
        <f>IFERROR(IF(INDEX(#REF!,MATCH(#REF!,#REF!, 0))= "", "",INDEX(#REF!,MATCH(#REF!,#REF!, 0)) ), "")</f>
        <v/>
      </c>
      <c r="X60" s="119">
        <v>3</v>
      </c>
      <c r="Y60" s="120"/>
    </row>
    <row r="61" spans="1:25" x14ac:dyDescent="0.25">
      <c r="A61" s="12" t="s">
        <v>351</v>
      </c>
      <c r="B61" s="118" t="s">
        <v>361</v>
      </c>
      <c r="C61" s="118" t="s">
        <v>231</v>
      </c>
      <c r="D61" s="9" t="s">
        <v>91</v>
      </c>
      <c r="E61" s="37">
        <v>9005</v>
      </c>
      <c r="F61" s="98">
        <v>1</v>
      </c>
      <c r="G61" s="128">
        <v>3</v>
      </c>
      <c r="H61" s="8">
        <v>3</v>
      </c>
      <c r="I61" s="8">
        <v>3</v>
      </c>
      <c r="J61" s="8">
        <v>3</v>
      </c>
      <c r="K61" s="99">
        <v>3</v>
      </c>
      <c r="L61" s="10">
        <v>3</v>
      </c>
      <c r="M61" s="13">
        <v>2</v>
      </c>
      <c r="N61" s="101">
        <v>3</v>
      </c>
      <c r="O61" s="99">
        <v>2</v>
      </c>
      <c r="P61" s="99">
        <v>3</v>
      </c>
      <c r="Q61" s="8">
        <v>1</v>
      </c>
      <c r="R61" s="20">
        <v>3</v>
      </c>
      <c r="S61" s="98" t="str">
        <f>IFERROR(IF(INDEX(#REF!,MATCH(#REF!,#REF!, 0))= "", "",INDEX(#REF!,MATCH(#REF!,#REF!, 0)) ), "")</f>
        <v/>
      </c>
      <c r="T61" s="8" t="str">
        <f>IFERROR(IF(INDEX(#REF!,MATCH(#REF!,#REF!, 0))= "", "",INDEX(#REF!,MATCH(#REF!,#REF!, 0)) ), "")</f>
        <v/>
      </c>
      <c r="U61" s="121" t="str">
        <f>IFERROR(IF(INDEX(#REF!,MATCH(#REF!,#REF!, 0))= "", "",INDEX(#REF!,MATCH(#REF!,#REF!, 0)) ), "")</f>
        <v/>
      </c>
      <c r="V61" s="101" t="str">
        <f>IFERROR(IF(INDEX(#REF!,MATCH(#REF!,#REF!, 0))= "", "",INDEX(#REF!,MATCH(#REF!,#REF!, 0)) ), "")</f>
        <v/>
      </c>
      <c r="W61" s="123" t="str">
        <f>IFERROR(IF(INDEX(#REF!,MATCH(#REF!,#REF!, 0))= "", "",INDEX(#REF!,MATCH(#REF!,#REF!, 0)) ), "")</f>
        <v/>
      </c>
      <c r="X61" s="119">
        <v>3</v>
      </c>
      <c r="Y61" s="120"/>
    </row>
    <row r="62" spans="1:25" x14ac:dyDescent="0.25">
      <c r="A62" s="12" t="s">
        <v>351</v>
      </c>
      <c r="B62" s="118" t="s">
        <v>361</v>
      </c>
      <c r="C62" s="118" t="s">
        <v>340</v>
      </c>
      <c r="D62" s="9" t="s">
        <v>200</v>
      </c>
      <c r="E62" s="37">
        <v>27514</v>
      </c>
      <c r="F62" s="98">
        <v>1</v>
      </c>
      <c r="G62" s="128">
        <v>3</v>
      </c>
      <c r="H62" s="8">
        <v>2</v>
      </c>
      <c r="I62" s="8">
        <v>3</v>
      </c>
      <c r="J62" s="8">
        <v>3</v>
      </c>
      <c r="K62" s="99">
        <v>3</v>
      </c>
      <c r="L62" s="10">
        <v>3</v>
      </c>
      <c r="M62" s="13">
        <v>1</v>
      </c>
      <c r="N62" s="101">
        <v>3</v>
      </c>
      <c r="O62" s="99">
        <v>2</v>
      </c>
      <c r="P62" s="99">
        <v>3</v>
      </c>
      <c r="Q62" s="8">
        <v>1</v>
      </c>
      <c r="R62" s="20">
        <v>3</v>
      </c>
      <c r="S62" s="98" t="str">
        <f>IFERROR(IF(INDEX(#REF!,MATCH(#REF!,#REF!, 0))= "", "",INDEX(#REF!,MATCH(#REF!,#REF!, 0)) ), "")</f>
        <v/>
      </c>
      <c r="T62" s="8" t="str">
        <f>IFERROR(IF(INDEX(#REF!,MATCH(#REF!,#REF!, 0))= "", "",INDEX(#REF!,MATCH(#REF!,#REF!, 0)) ), "")</f>
        <v/>
      </c>
      <c r="U62" s="121" t="str">
        <f>IFERROR(IF(INDEX(#REF!,MATCH(#REF!,#REF!, 0))= "", "",INDEX(#REF!,MATCH(#REF!,#REF!, 0)) ), "")</f>
        <v/>
      </c>
      <c r="V62" s="101" t="str">
        <f>IFERROR(IF(INDEX(#REF!,MATCH(#REF!,#REF!, 0))= "", "",INDEX(#REF!,MATCH(#REF!,#REF!, 0)) ), "")</f>
        <v/>
      </c>
      <c r="W62" s="42" t="str">
        <f>IFERROR(IF(INDEX(#REF!,MATCH(#REF!,#REF!, 0))= "", "",INDEX(#REF!,MATCH(#REF!,#REF!, 0)) ), "")</f>
        <v/>
      </c>
      <c r="X62" s="119">
        <v>3</v>
      </c>
      <c r="Y62" s="120"/>
    </row>
    <row r="63" spans="1:25" x14ac:dyDescent="0.25">
      <c r="A63" s="12" t="s">
        <v>351</v>
      </c>
      <c r="B63" s="118" t="s">
        <v>361</v>
      </c>
      <c r="C63" s="118" t="s">
        <v>232</v>
      </c>
      <c r="D63" s="9" t="s">
        <v>92</v>
      </c>
      <c r="E63" s="37">
        <v>15825</v>
      </c>
      <c r="F63" s="98">
        <v>1</v>
      </c>
      <c r="G63" s="128">
        <v>3</v>
      </c>
      <c r="H63" s="8">
        <v>3</v>
      </c>
      <c r="I63" s="8">
        <v>3</v>
      </c>
      <c r="J63" s="8">
        <v>3</v>
      </c>
      <c r="K63" s="99">
        <v>3</v>
      </c>
      <c r="L63" s="10">
        <v>3</v>
      </c>
      <c r="M63" s="13">
        <v>1</v>
      </c>
      <c r="N63" s="101">
        <v>3</v>
      </c>
      <c r="O63" s="99">
        <v>2</v>
      </c>
      <c r="P63" s="99">
        <v>3</v>
      </c>
      <c r="Q63" s="8">
        <v>1</v>
      </c>
      <c r="R63" s="20">
        <v>3</v>
      </c>
      <c r="S63" s="98" t="str">
        <f>IFERROR(IF(INDEX(#REF!,MATCH(#REF!,#REF!, 0))= "", "",INDEX(#REF!,MATCH(#REF!,#REF!, 0)) ), "")</f>
        <v/>
      </c>
      <c r="T63" s="8" t="str">
        <f>IFERROR(IF(INDEX(#REF!,MATCH(#REF!,#REF!, 0))= "", "",INDEX(#REF!,MATCH(#REF!,#REF!, 0)) ), "")</f>
        <v/>
      </c>
      <c r="U63" s="121" t="str">
        <f>IFERROR(IF(INDEX(#REF!,MATCH(#REF!,#REF!, 0))= "", "",INDEX(#REF!,MATCH(#REF!,#REF!, 0)) ), "")</f>
        <v/>
      </c>
      <c r="V63" s="101" t="str">
        <f>IFERROR(IF(INDEX(#REF!,MATCH(#REF!,#REF!, 0))= "", "",INDEX(#REF!,MATCH(#REF!,#REF!, 0)) ), "")</f>
        <v/>
      </c>
      <c r="W63" s="123" t="str">
        <f>IFERROR(IF(INDEX(#REF!,MATCH(#REF!,#REF!, 0))= "", "",INDEX(#REF!,MATCH(#REF!,#REF!, 0)) ), "")</f>
        <v/>
      </c>
      <c r="X63" s="119">
        <v>3</v>
      </c>
      <c r="Y63" s="120"/>
    </row>
    <row r="64" spans="1:25" x14ac:dyDescent="0.25">
      <c r="A64" s="12" t="s">
        <v>351</v>
      </c>
      <c r="B64" s="118" t="s">
        <v>361</v>
      </c>
      <c r="C64" s="118" t="s">
        <v>294</v>
      </c>
      <c r="D64" s="9" t="s">
        <v>154</v>
      </c>
      <c r="E64" s="37">
        <v>40343</v>
      </c>
      <c r="F64" s="98">
        <v>1</v>
      </c>
      <c r="G64" s="128">
        <v>3</v>
      </c>
      <c r="H64" s="8">
        <v>2</v>
      </c>
      <c r="I64" s="8">
        <v>3</v>
      </c>
      <c r="J64" s="8">
        <v>3</v>
      </c>
      <c r="K64" s="99">
        <v>3</v>
      </c>
      <c r="L64" s="10">
        <v>3</v>
      </c>
      <c r="M64" s="13">
        <v>2</v>
      </c>
      <c r="N64" s="101">
        <v>3</v>
      </c>
      <c r="O64" s="99">
        <v>3</v>
      </c>
      <c r="P64" s="99">
        <v>3</v>
      </c>
      <c r="Q64" s="8">
        <v>1</v>
      </c>
      <c r="R64" s="20">
        <v>3</v>
      </c>
      <c r="S64" s="98" t="str">
        <f>IFERROR(IF(INDEX(#REF!,MATCH(#REF!,#REF!, 0))= "", "",INDEX(#REF!,MATCH(#REF!,#REF!, 0)) ), "")</f>
        <v/>
      </c>
      <c r="T64" s="8" t="str">
        <f>IFERROR(IF(INDEX(#REF!,MATCH(#REF!,#REF!, 0))= "", "",INDEX(#REF!,MATCH(#REF!,#REF!, 0)) ), "")</f>
        <v/>
      </c>
      <c r="U64" s="121" t="str">
        <f>IFERROR(IF(INDEX(#REF!,MATCH(#REF!,#REF!, 0))= "", "",INDEX(#REF!,MATCH(#REF!,#REF!, 0)) ), "")</f>
        <v/>
      </c>
      <c r="V64" s="101" t="str">
        <f>IFERROR(IF(INDEX(#REF!,MATCH(#REF!,#REF!, 0))= "", "",INDEX(#REF!,MATCH(#REF!,#REF!, 0)) ), "")</f>
        <v/>
      </c>
      <c r="W64" s="42" t="str">
        <f>IFERROR(IF(INDEX(#REF!,MATCH(#REF!,#REF!, 0))= "", "",INDEX(#REF!,MATCH(#REF!,#REF!, 0)) ), "")</f>
        <v/>
      </c>
      <c r="X64" s="119">
        <v>3</v>
      </c>
      <c r="Y64" s="120"/>
    </row>
    <row r="65" spans="1:25" x14ac:dyDescent="0.25">
      <c r="A65" s="12" t="s">
        <v>348</v>
      </c>
      <c r="B65" s="118" t="s">
        <v>358</v>
      </c>
      <c r="C65" s="118" t="s">
        <v>259</v>
      </c>
      <c r="D65" s="9" t="s">
        <v>119</v>
      </c>
      <c r="E65" s="37">
        <v>366051</v>
      </c>
      <c r="F65" s="98">
        <v>4</v>
      </c>
      <c r="G65" s="128">
        <v>3</v>
      </c>
      <c r="H65" s="8">
        <v>3</v>
      </c>
      <c r="I65" s="8">
        <v>3</v>
      </c>
      <c r="J65" s="8">
        <v>4</v>
      </c>
      <c r="K65" s="99">
        <v>4</v>
      </c>
      <c r="L65" s="10">
        <v>4</v>
      </c>
      <c r="M65" s="13">
        <v>3</v>
      </c>
      <c r="N65" s="101">
        <v>3</v>
      </c>
      <c r="O65" s="99">
        <v>4</v>
      </c>
      <c r="P65" s="99">
        <v>4</v>
      </c>
      <c r="Q65" s="8">
        <v>1</v>
      </c>
      <c r="R65" s="20">
        <v>4</v>
      </c>
      <c r="S65" s="98" t="str">
        <f>IFERROR(IF(INDEX(#REF!,MATCH(#REF!,#REF!, 0))= "", "",INDEX(#REF!,MATCH(#REF!,#REF!, 0)) ), "")</f>
        <v/>
      </c>
      <c r="T65" s="8" t="str">
        <f>IFERROR(IF(INDEX(#REF!,MATCH(#REF!,#REF!, 0))= "", "",INDEX(#REF!,MATCH(#REF!,#REF!, 0)) ), "")</f>
        <v/>
      </c>
      <c r="U65" s="121" t="str">
        <f>IFERROR(IF(INDEX(#REF!,MATCH(#REF!,#REF!, 0))= "", "",INDEX(#REF!,MATCH(#REF!,#REF!, 0)) ), "")</f>
        <v/>
      </c>
      <c r="V65" s="101" t="str">
        <f>IFERROR(IF(INDEX(#REF!,MATCH(#REF!,#REF!, 0))= "", "",INDEX(#REF!,MATCH(#REF!,#REF!, 0)) ), "")</f>
        <v/>
      </c>
      <c r="W65" s="122" t="str">
        <f>IFERROR(IF(INDEX(#REF!,MATCH(#REF!,#REF!, 0))= "", "",INDEX(#REF!,MATCH(#REF!,#REF!, 0)) ), "")</f>
        <v/>
      </c>
      <c r="X65" s="119">
        <v>3</v>
      </c>
      <c r="Y65" s="120"/>
    </row>
    <row r="66" spans="1:25" x14ac:dyDescent="0.25">
      <c r="A66" s="12" t="s">
        <v>348</v>
      </c>
      <c r="B66" s="118" t="s">
        <v>358</v>
      </c>
      <c r="C66" s="118" t="s">
        <v>253</v>
      </c>
      <c r="D66" s="9" t="s">
        <v>113</v>
      </c>
      <c r="E66" s="37">
        <v>52529</v>
      </c>
      <c r="F66" s="98">
        <v>1</v>
      </c>
      <c r="G66" s="128">
        <v>3</v>
      </c>
      <c r="H66" s="8">
        <v>4</v>
      </c>
      <c r="I66" s="8">
        <v>4</v>
      </c>
      <c r="J66" s="8">
        <v>4</v>
      </c>
      <c r="K66" s="99">
        <v>3</v>
      </c>
      <c r="L66" s="10">
        <v>3</v>
      </c>
      <c r="M66" s="13">
        <v>2</v>
      </c>
      <c r="N66" s="101">
        <v>3</v>
      </c>
      <c r="O66" s="99">
        <v>2</v>
      </c>
      <c r="P66" s="99">
        <v>3</v>
      </c>
      <c r="Q66" s="8">
        <v>1</v>
      </c>
      <c r="R66" s="20">
        <v>3</v>
      </c>
      <c r="S66" s="98" t="str">
        <f>IFERROR(IF(INDEX(#REF!,MATCH(#REF!,#REF!, 0))= "", "",INDEX(#REF!,MATCH(#REF!,#REF!, 0)) ), "")</f>
        <v/>
      </c>
      <c r="T66" s="8" t="str">
        <f>IFERROR(IF(INDEX(#REF!,MATCH(#REF!,#REF!, 0))= "", "",INDEX(#REF!,MATCH(#REF!,#REF!, 0)) ), "")</f>
        <v/>
      </c>
      <c r="U66" s="121" t="str">
        <f>IFERROR(IF(INDEX(#REF!,MATCH(#REF!,#REF!, 0))= "", "",INDEX(#REF!,MATCH(#REF!,#REF!, 0)) ), "")</f>
        <v/>
      </c>
      <c r="V66" s="101" t="str">
        <f>IFERROR(IF(INDEX(#REF!,MATCH(#REF!,#REF!, 0))= "", "",INDEX(#REF!,MATCH(#REF!,#REF!, 0)) ), "")</f>
        <v/>
      </c>
      <c r="W66" s="122" t="str">
        <f>IFERROR(IF(INDEX(#REF!,MATCH(#REF!,#REF!, 0))= "", "",INDEX(#REF!,MATCH(#REF!,#REF!, 0)) ), "")</f>
        <v/>
      </c>
      <c r="X66" s="119">
        <v>3</v>
      </c>
      <c r="Y66" s="120"/>
    </row>
    <row r="67" spans="1:25" x14ac:dyDescent="0.25">
      <c r="A67" s="12" t="s">
        <v>348</v>
      </c>
      <c r="B67" s="118" t="s">
        <v>358</v>
      </c>
      <c r="C67" s="118" t="s">
        <v>274</v>
      </c>
      <c r="D67" s="9" t="s">
        <v>134</v>
      </c>
      <c r="E67" s="37">
        <v>44802</v>
      </c>
      <c r="F67" s="98">
        <v>1</v>
      </c>
      <c r="G67" s="128">
        <v>3</v>
      </c>
      <c r="H67" s="8">
        <v>3</v>
      </c>
      <c r="I67" s="8">
        <v>3</v>
      </c>
      <c r="J67" s="8">
        <v>4</v>
      </c>
      <c r="K67" s="99">
        <v>4</v>
      </c>
      <c r="L67" s="10">
        <v>1</v>
      </c>
      <c r="M67" s="13">
        <v>1</v>
      </c>
      <c r="N67" s="101">
        <v>3</v>
      </c>
      <c r="O67" s="99">
        <v>4</v>
      </c>
      <c r="P67" s="99">
        <v>3</v>
      </c>
      <c r="Q67" s="8">
        <v>3</v>
      </c>
      <c r="R67" s="20">
        <v>3</v>
      </c>
      <c r="S67" s="98" t="str">
        <f>IFERROR(IF(INDEX(#REF!,MATCH(#REF!,#REF!, 0))= "", "",INDEX(#REF!,MATCH(#REF!,#REF!, 0)) ), "")</f>
        <v/>
      </c>
      <c r="T67" s="8" t="str">
        <f>IFERROR(IF(INDEX(#REF!,MATCH(#REF!,#REF!, 0))= "", "",INDEX(#REF!,MATCH(#REF!,#REF!, 0)) ), "")</f>
        <v/>
      </c>
      <c r="U67" s="121" t="str">
        <f>IFERROR(IF(INDEX(#REF!,MATCH(#REF!,#REF!, 0))= "", "",INDEX(#REF!,MATCH(#REF!,#REF!, 0)) ), "")</f>
        <v/>
      </c>
      <c r="V67" s="101" t="str">
        <f>IFERROR(IF(INDEX(#REF!,MATCH(#REF!,#REF!, 0))= "", "",INDEX(#REF!,MATCH(#REF!,#REF!, 0)) ), "")</f>
        <v/>
      </c>
      <c r="W67" s="122" t="str">
        <f>IFERROR(IF(INDEX(#REF!,MATCH(#REF!,#REF!, 0))= "", "",INDEX(#REF!,MATCH(#REF!,#REF!, 0)) ), "")</f>
        <v/>
      </c>
      <c r="X67" s="119">
        <v>3</v>
      </c>
      <c r="Y67" s="120"/>
    </row>
    <row r="68" spans="1:25" x14ac:dyDescent="0.25">
      <c r="A68" s="12" t="s">
        <v>348</v>
      </c>
      <c r="B68" s="118" t="s">
        <v>358</v>
      </c>
      <c r="C68" s="118" t="s">
        <v>266</v>
      </c>
      <c r="D68" s="9" t="s">
        <v>126</v>
      </c>
      <c r="E68" s="37">
        <v>162808</v>
      </c>
      <c r="F68" s="98">
        <v>4</v>
      </c>
      <c r="G68" s="128">
        <v>3</v>
      </c>
      <c r="H68" s="8">
        <v>4</v>
      </c>
      <c r="I68" s="8">
        <v>3</v>
      </c>
      <c r="J68" s="8">
        <v>4</v>
      </c>
      <c r="K68" s="99">
        <v>4</v>
      </c>
      <c r="L68" s="10">
        <v>4</v>
      </c>
      <c r="M68" s="13">
        <v>3</v>
      </c>
      <c r="N68" s="101">
        <v>3</v>
      </c>
      <c r="O68" s="99">
        <v>4</v>
      </c>
      <c r="P68" s="99">
        <v>3</v>
      </c>
      <c r="Q68" s="8">
        <v>1</v>
      </c>
      <c r="R68" s="20">
        <v>4</v>
      </c>
      <c r="S68" s="98" t="str">
        <f>IFERROR(IF(INDEX(#REF!,MATCH(#REF!,#REF!, 0))= "", "",INDEX(#REF!,MATCH(#REF!,#REF!, 0)) ), "")</f>
        <v/>
      </c>
      <c r="T68" s="8" t="str">
        <f>IFERROR(IF(INDEX(#REF!,MATCH(#REF!,#REF!, 0))= "", "",INDEX(#REF!,MATCH(#REF!,#REF!, 0)) ), "")</f>
        <v/>
      </c>
      <c r="U68" s="121" t="str">
        <f>IFERROR(IF(INDEX(#REF!,MATCH(#REF!,#REF!, 0))= "", "",INDEX(#REF!,MATCH(#REF!,#REF!, 0)) ), "")</f>
        <v/>
      </c>
      <c r="V68" s="101" t="str">
        <f>IFERROR(IF(INDEX(#REF!,MATCH(#REF!,#REF!, 0))= "", "",INDEX(#REF!,MATCH(#REF!,#REF!, 0)) ), "")</f>
        <v/>
      </c>
      <c r="W68" s="122" t="str">
        <f>IFERROR(IF(INDEX(#REF!,MATCH(#REF!,#REF!, 0))= "", "",INDEX(#REF!,MATCH(#REF!,#REF!, 0)) ), "")</f>
        <v/>
      </c>
      <c r="X68" s="119">
        <v>4</v>
      </c>
      <c r="Y68" s="120"/>
    </row>
    <row r="69" spans="1:25" x14ac:dyDescent="0.25">
      <c r="A69" s="12" t="s">
        <v>348</v>
      </c>
      <c r="B69" s="118" t="s">
        <v>358</v>
      </c>
      <c r="C69" s="118" t="s">
        <v>331</v>
      </c>
      <c r="D69" s="9" t="s">
        <v>191</v>
      </c>
      <c r="E69" s="37">
        <v>32784</v>
      </c>
      <c r="F69" s="98">
        <v>2</v>
      </c>
      <c r="G69" s="128">
        <v>3</v>
      </c>
      <c r="H69" s="8">
        <v>3</v>
      </c>
      <c r="I69" s="8">
        <v>3</v>
      </c>
      <c r="J69" s="8">
        <v>4</v>
      </c>
      <c r="K69" s="99">
        <v>4</v>
      </c>
      <c r="L69" s="10">
        <v>3</v>
      </c>
      <c r="M69" s="13">
        <v>2</v>
      </c>
      <c r="N69" s="101">
        <v>4</v>
      </c>
      <c r="O69" s="99">
        <v>2</v>
      </c>
      <c r="P69" s="99">
        <v>3</v>
      </c>
      <c r="Q69" s="8">
        <v>1</v>
      </c>
      <c r="R69" s="20">
        <v>3</v>
      </c>
      <c r="S69" s="98" t="str">
        <f>IFERROR(IF(INDEX(#REF!,MATCH(#REF!,#REF!, 0))= "", "",INDEX(#REF!,MATCH(#REF!,#REF!, 0)) ), "")</f>
        <v/>
      </c>
      <c r="T69" s="8" t="str">
        <f>IFERROR(IF(INDEX(#REF!,MATCH(#REF!,#REF!, 0))= "", "",INDEX(#REF!,MATCH(#REF!,#REF!, 0)) ), "")</f>
        <v/>
      </c>
      <c r="U69" s="121" t="str">
        <f>IFERROR(IF(INDEX(#REF!,MATCH(#REF!,#REF!, 0))= "", "",INDEX(#REF!,MATCH(#REF!,#REF!, 0)) ), "")</f>
        <v/>
      </c>
      <c r="V69" s="101" t="str">
        <f>IFERROR(IF(INDEX(#REF!,MATCH(#REF!,#REF!, 0))= "", "",INDEX(#REF!,MATCH(#REF!,#REF!, 0)) ), "")</f>
        <v/>
      </c>
      <c r="W69" s="123" t="str">
        <f>IFERROR(IF(INDEX(#REF!,MATCH(#REF!,#REF!, 0))= "", "",INDEX(#REF!,MATCH(#REF!,#REF!, 0)) ), "")</f>
        <v/>
      </c>
      <c r="X69" s="119">
        <v>3</v>
      </c>
      <c r="Y69" s="120"/>
    </row>
    <row r="70" spans="1:25" x14ac:dyDescent="0.25">
      <c r="A70" s="12" t="s">
        <v>348</v>
      </c>
      <c r="B70" s="118" t="s">
        <v>358</v>
      </c>
      <c r="C70" s="118" t="s">
        <v>209</v>
      </c>
      <c r="D70" s="9" t="s">
        <v>69</v>
      </c>
      <c r="E70" s="37">
        <v>47668</v>
      </c>
      <c r="F70" s="98">
        <v>4</v>
      </c>
      <c r="G70" s="128">
        <v>3</v>
      </c>
      <c r="H70" s="8">
        <v>3</v>
      </c>
      <c r="I70" s="8">
        <v>3</v>
      </c>
      <c r="J70" s="8">
        <v>4</v>
      </c>
      <c r="K70" s="99">
        <v>3</v>
      </c>
      <c r="L70" s="10">
        <v>3</v>
      </c>
      <c r="M70" s="13">
        <v>3</v>
      </c>
      <c r="N70" s="101">
        <v>3</v>
      </c>
      <c r="O70" s="99">
        <v>3</v>
      </c>
      <c r="P70" s="99">
        <v>3</v>
      </c>
      <c r="Q70" s="8">
        <v>1</v>
      </c>
      <c r="R70" s="20">
        <v>3</v>
      </c>
      <c r="S70" s="98" t="str">
        <f>IFERROR(IF(INDEX(#REF!,MATCH(#REF!,#REF!, 0))= "", "",INDEX(#REF!,MATCH(#REF!,#REF!, 0)) ), "")</f>
        <v/>
      </c>
      <c r="T70" s="8" t="str">
        <f>IFERROR(IF(INDEX(#REF!,MATCH(#REF!,#REF!, 0))= "", "",INDEX(#REF!,MATCH(#REF!,#REF!, 0)) ), "")</f>
        <v/>
      </c>
      <c r="U70" s="121" t="str">
        <f>IFERROR(IF(INDEX(#REF!,MATCH(#REF!,#REF!, 0))= "", "",INDEX(#REF!,MATCH(#REF!,#REF!, 0)) ), "")</f>
        <v/>
      </c>
      <c r="V70" s="101" t="str">
        <f>IFERROR(IF(INDEX(#REF!,MATCH(#REF!,#REF!, 0))= "", "",INDEX(#REF!,MATCH(#REF!,#REF!, 0)) ), "")</f>
        <v/>
      </c>
      <c r="W70" s="122" t="str">
        <f>IFERROR(IF(INDEX(#REF!,MATCH(#REF!,#REF!, 0))= "", "",INDEX(#REF!,MATCH(#REF!,#REF!, 0)) ), "")</f>
        <v/>
      </c>
      <c r="X70" s="119">
        <v>3</v>
      </c>
      <c r="Y70" s="120"/>
    </row>
    <row r="71" spans="1:25" x14ac:dyDescent="0.25">
      <c r="A71" s="12" t="s">
        <v>348</v>
      </c>
      <c r="B71" s="118" t="s">
        <v>358</v>
      </c>
      <c r="C71" s="118" t="s">
        <v>322</v>
      </c>
      <c r="D71" s="9" t="s">
        <v>182</v>
      </c>
      <c r="E71" s="37">
        <v>281577</v>
      </c>
      <c r="F71" s="98">
        <v>4</v>
      </c>
      <c r="G71" s="128">
        <v>3</v>
      </c>
      <c r="H71" s="8">
        <v>3</v>
      </c>
      <c r="I71" s="8">
        <v>3</v>
      </c>
      <c r="J71" s="8">
        <v>4</v>
      </c>
      <c r="K71" s="99">
        <v>4</v>
      </c>
      <c r="L71" s="10">
        <v>4</v>
      </c>
      <c r="M71" s="13">
        <v>3</v>
      </c>
      <c r="N71" s="101">
        <v>3</v>
      </c>
      <c r="O71" s="99">
        <v>4</v>
      </c>
      <c r="P71" s="99">
        <v>3</v>
      </c>
      <c r="Q71" s="8">
        <v>1</v>
      </c>
      <c r="R71" s="20">
        <v>4</v>
      </c>
      <c r="S71" s="98" t="str">
        <f>IFERROR(IF(INDEX(#REF!,MATCH(#REF!,#REF!, 0))= "", "",INDEX(#REF!,MATCH(#REF!,#REF!, 0)) ), "")</f>
        <v/>
      </c>
      <c r="T71" s="8" t="str">
        <f>IFERROR(IF(INDEX(#REF!,MATCH(#REF!,#REF!, 0))= "", "",INDEX(#REF!,MATCH(#REF!,#REF!, 0)) ), "")</f>
        <v/>
      </c>
      <c r="U71" s="121" t="str">
        <f>IFERROR(IF(INDEX(#REF!,MATCH(#REF!,#REF!, 0))= "", "",INDEX(#REF!,MATCH(#REF!,#REF!, 0)) ), "")</f>
        <v/>
      </c>
      <c r="V71" s="101" t="str">
        <f>IFERROR(IF(INDEX(#REF!,MATCH(#REF!,#REF!, 0))= "", "",INDEX(#REF!,MATCH(#REF!,#REF!, 0)) ), "")</f>
        <v/>
      </c>
      <c r="W71" s="122" t="str">
        <f>IFERROR(IF(INDEX(#REF!,MATCH(#REF!,#REF!, 0))= "", "",INDEX(#REF!,MATCH(#REF!,#REF!, 0)) ), "")</f>
        <v/>
      </c>
      <c r="X71" s="119">
        <v>4</v>
      </c>
      <c r="Y71" s="120"/>
    </row>
    <row r="72" spans="1:25" x14ac:dyDescent="0.25">
      <c r="A72" s="12" t="s">
        <v>348</v>
      </c>
      <c r="B72" s="118" t="s">
        <v>358</v>
      </c>
      <c r="C72" s="118" t="s">
        <v>341</v>
      </c>
      <c r="D72" s="9" t="s">
        <v>201</v>
      </c>
      <c r="E72" s="37">
        <v>146485</v>
      </c>
      <c r="F72" s="98">
        <v>4</v>
      </c>
      <c r="G72" s="128">
        <v>3</v>
      </c>
      <c r="H72" s="8">
        <v>3</v>
      </c>
      <c r="I72" s="8">
        <v>3</v>
      </c>
      <c r="J72" s="8">
        <v>4</v>
      </c>
      <c r="K72" s="99">
        <v>4</v>
      </c>
      <c r="L72" s="10">
        <v>4</v>
      </c>
      <c r="M72" s="13">
        <v>3</v>
      </c>
      <c r="N72" s="101">
        <v>3</v>
      </c>
      <c r="O72" s="99">
        <v>4</v>
      </c>
      <c r="P72" s="99">
        <v>4</v>
      </c>
      <c r="Q72" s="8">
        <v>1</v>
      </c>
      <c r="R72" s="20">
        <v>4</v>
      </c>
      <c r="S72" s="98" t="str">
        <f>IFERROR(IF(INDEX(#REF!,MATCH(#REF!,#REF!, 0))= "", "",INDEX(#REF!,MATCH(#REF!,#REF!, 0)) ), "")</f>
        <v/>
      </c>
      <c r="T72" s="8" t="str">
        <f>IFERROR(IF(INDEX(#REF!,MATCH(#REF!,#REF!, 0))= "", "",INDEX(#REF!,MATCH(#REF!,#REF!, 0)) ), "")</f>
        <v/>
      </c>
      <c r="U72" s="121" t="str">
        <f>IFERROR(IF(INDEX(#REF!,MATCH(#REF!,#REF!, 0))= "", "",INDEX(#REF!,MATCH(#REF!,#REF!, 0)) ), "")</f>
        <v/>
      </c>
      <c r="V72" s="101" t="str">
        <f>IFERROR(IF(INDEX(#REF!,MATCH(#REF!,#REF!, 0))= "", "",INDEX(#REF!,MATCH(#REF!,#REF!, 0)) ), "")</f>
        <v/>
      </c>
      <c r="W72" s="122" t="str">
        <f>IFERROR(IF(INDEX(#REF!,MATCH(#REF!,#REF!, 0))= "", "",INDEX(#REF!,MATCH(#REF!,#REF!, 0)) ), "")</f>
        <v/>
      </c>
      <c r="X72" s="119">
        <v>4</v>
      </c>
      <c r="Y72" s="120"/>
    </row>
    <row r="73" spans="1:25" x14ac:dyDescent="0.25">
      <c r="A73" s="12" t="s">
        <v>348</v>
      </c>
      <c r="B73" s="118" t="s">
        <v>358</v>
      </c>
      <c r="C73" s="118" t="s">
        <v>275</v>
      </c>
      <c r="D73" s="9" t="s">
        <v>135</v>
      </c>
      <c r="E73" s="37">
        <v>32609</v>
      </c>
      <c r="F73" s="98">
        <v>1</v>
      </c>
      <c r="G73" s="128">
        <v>3</v>
      </c>
      <c r="H73" s="8">
        <v>3</v>
      </c>
      <c r="I73" s="8">
        <v>3</v>
      </c>
      <c r="J73" s="8">
        <v>4</v>
      </c>
      <c r="K73" s="99">
        <v>3</v>
      </c>
      <c r="L73" s="10">
        <v>1</v>
      </c>
      <c r="M73" s="13">
        <v>2</v>
      </c>
      <c r="N73" s="101">
        <v>3</v>
      </c>
      <c r="O73" s="99">
        <v>3</v>
      </c>
      <c r="P73" s="99">
        <v>3</v>
      </c>
      <c r="Q73" s="8">
        <v>1</v>
      </c>
      <c r="R73" s="20">
        <v>3</v>
      </c>
      <c r="S73" s="98" t="str">
        <f>IFERROR(IF(INDEX(#REF!,MATCH(#REF!,#REF!, 0))= "", "",INDEX(#REF!,MATCH(#REF!,#REF!, 0)) ), "")</f>
        <v/>
      </c>
      <c r="T73" s="8" t="str">
        <f>IFERROR(IF(INDEX(#REF!,MATCH(#REF!,#REF!, 0))= "", "",INDEX(#REF!,MATCH(#REF!,#REF!, 0)) ), "")</f>
        <v/>
      </c>
      <c r="U73" s="121" t="str">
        <f>IFERROR(IF(INDEX(#REF!,MATCH(#REF!,#REF!, 0))= "", "",INDEX(#REF!,MATCH(#REF!,#REF!, 0)) ), "")</f>
        <v/>
      </c>
      <c r="V73" s="101" t="str">
        <f>IFERROR(IF(INDEX(#REF!,MATCH(#REF!,#REF!, 0))= "", "",INDEX(#REF!,MATCH(#REF!,#REF!, 0)) ), "")</f>
        <v/>
      </c>
      <c r="W73" s="123" t="str">
        <f>IFERROR(IF(INDEX(#REF!,MATCH(#REF!,#REF!, 0))= "", "",INDEX(#REF!,MATCH(#REF!,#REF!, 0)) ), "")</f>
        <v/>
      </c>
      <c r="X73" s="119">
        <v>3</v>
      </c>
      <c r="Y73" s="120"/>
    </row>
    <row r="74" spans="1:25" x14ac:dyDescent="0.25">
      <c r="A74" s="12" t="s">
        <v>348</v>
      </c>
      <c r="B74" s="118" t="s">
        <v>358</v>
      </c>
      <c r="C74" s="118" t="s">
        <v>251</v>
      </c>
      <c r="D74" s="9" t="s">
        <v>111</v>
      </c>
      <c r="E74" s="37">
        <v>185387</v>
      </c>
      <c r="F74" s="98">
        <v>1</v>
      </c>
      <c r="G74" s="128">
        <v>3</v>
      </c>
      <c r="H74" s="8">
        <v>3</v>
      </c>
      <c r="I74" s="8">
        <v>3</v>
      </c>
      <c r="J74" s="8">
        <v>4</v>
      </c>
      <c r="K74" s="99">
        <v>5</v>
      </c>
      <c r="L74" s="10">
        <v>3</v>
      </c>
      <c r="M74" s="13">
        <v>2</v>
      </c>
      <c r="N74" s="101">
        <v>5</v>
      </c>
      <c r="O74" s="99">
        <v>4</v>
      </c>
      <c r="P74" s="99">
        <v>4</v>
      </c>
      <c r="Q74" s="8">
        <v>1</v>
      </c>
      <c r="R74" s="20">
        <v>3</v>
      </c>
      <c r="S74" s="98" t="str">
        <f>IFERROR(IF(INDEX(#REF!,MATCH(#REF!,#REF!, 0))= "", "",INDEX(#REF!,MATCH(#REF!,#REF!, 0)) ), "")</f>
        <v/>
      </c>
      <c r="T74" s="8" t="str">
        <f>IFERROR(IF(INDEX(#REF!,MATCH(#REF!,#REF!, 0))= "", "",INDEX(#REF!,MATCH(#REF!,#REF!, 0)) ), "")</f>
        <v/>
      </c>
      <c r="U74" s="121" t="str">
        <f>IFERROR(IF(INDEX(#REF!,MATCH(#REF!,#REF!, 0))= "", "",INDEX(#REF!,MATCH(#REF!,#REF!, 0)) ), "")</f>
        <v/>
      </c>
      <c r="V74" s="101" t="str">
        <f>IFERROR(IF(INDEX(#REF!,MATCH(#REF!,#REF!, 0))= "", "",INDEX(#REF!,MATCH(#REF!,#REF!, 0)) ), "")</f>
        <v/>
      </c>
      <c r="W74" s="42" t="str">
        <f>IFERROR(IF(INDEX(#REF!,MATCH(#REF!,#REF!, 0))= "", "",INDEX(#REF!,MATCH(#REF!,#REF!, 0)) ), "")</f>
        <v/>
      </c>
      <c r="X74" s="119">
        <v>3</v>
      </c>
      <c r="Y74" s="120"/>
    </row>
    <row r="75" spans="1:25" ht="28.5" x14ac:dyDescent="0.25">
      <c r="A75" s="12" t="s">
        <v>348</v>
      </c>
      <c r="B75" s="118" t="s">
        <v>358</v>
      </c>
      <c r="C75" s="118" t="s">
        <v>304</v>
      </c>
      <c r="D75" s="9" t="s">
        <v>164</v>
      </c>
      <c r="E75" s="37">
        <v>165494</v>
      </c>
      <c r="F75" s="98">
        <v>4</v>
      </c>
      <c r="G75" s="128">
        <v>3</v>
      </c>
      <c r="H75" s="8">
        <v>3</v>
      </c>
      <c r="I75" s="8">
        <v>3</v>
      </c>
      <c r="J75" s="8">
        <v>4</v>
      </c>
      <c r="K75" s="99">
        <v>4</v>
      </c>
      <c r="L75" s="10">
        <v>1</v>
      </c>
      <c r="M75" s="13">
        <v>4</v>
      </c>
      <c r="N75" s="101">
        <v>3</v>
      </c>
      <c r="O75" s="99">
        <v>4</v>
      </c>
      <c r="P75" s="99">
        <v>4</v>
      </c>
      <c r="Q75" s="8">
        <v>3</v>
      </c>
      <c r="R75" s="20">
        <v>4</v>
      </c>
      <c r="S75" s="98" t="str">
        <f>IFERROR(IF(INDEX(#REF!,MATCH(#REF!,#REF!, 0))= "", "",INDEX(#REF!,MATCH(#REF!,#REF!, 0)) ), "")</f>
        <v/>
      </c>
      <c r="T75" s="8" t="str">
        <f>IFERROR(IF(INDEX(#REF!,MATCH(#REF!,#REF!, 0))= "", "",INDEX(#REF!,MATCH(#REF!,#REF!, 0)) ), "")</f>
        <v/>
      </c>
      <c r="U75" s="121" t="str">
        <f>IFERROR(IF(INDEX(#REF!,MATCH(#REF!,#REF!, 0))= "", "",INDEX(#REF!,MATCH(#REF!,#REF!, 0)) ), "")</f>
        <v/>
      </c>
      <c r="V75" s="101" t="str">
        <f>IFERROR(IF(INDEX(#REF!,MATCH(#REF!,#REF!, 0))= "", "",INDEX(#REF!,MATCH(#REF!,#REF!, 0)) ), "")</f>
        <v/>
      </c>
      <c r="W75" s="123" t="str">
        <f>IFERROR(IF(INDEX(#REF!,MATCH(#REF!,#REF!, 0))= "", "",INDEX(#REF!,MATCH(#REF!,#REF!, 0)) ), "")</f>
        <v/>
      </c>
      <c r="X75" s="119">
        <v>4</v>
      </c>
      <c r="Y75" s="120"/>
    </row>
    <row r="76" spans="1:25" x14ac:dyDescent="0.25">
      <c r="A76" s="12" t="s">
        <v>348</v>
      </c>
      <c r="B76" s="118" t="s">
        <v>358</v>
      </c>
      <c r="C76" s="118" t="s">
        <v>264</v>
      </c>
      <c r="D76" s="9" t="s">
        <v>124</v>
      </c>
      <c r="E76" s="37">
        <v>23598</v>
      </c>
      <c r="F76" s="98">
        <v>1</v>
      </c>
      <c r="G76" s="128">
        <v>3</v>
      </c>
      <c r="H76" s="8">
        <v>3</v>
      </c>
      <c r="I76" s="8">
        <v>3</v>
      </c>
      <c r="J76" s="8">
        <v>3</v>
      </c>
      <c r="K76" s="99">
        <v>4</v>
      </c>
      <c r="L76" s="10">
        <v>3</v>
      </c>
      <c r="M76" s="13">
        <v>1</v>
      </c>
      <c r="N76" s="101">
        <v>3</v>
      </c>
      <c r="O76" s="99">
        <v>3</v>
      </c>
      <c r="P76" s="99">
        <v>4</v>
      </c>
      <c r="Q76" s="8">
        <v>1</v>
      </c>
      <c r="R76" s="20">
        <v>3</v>
      </c>
      <c r="S76" s="98" t="str">
        <f>IFERROR(IF(INDEX(#REF!,MATCH(#REF!,#REF!, 0))= "", "",INDEX(#REF!,MATCH(#REF!,#REF!, 0)) ), "")</f>
        <v/>
      </c>
      <c r="T76" s="8" t="str">
        <f>IFERROR(IF(INDEX(#REF!,MATCH(#REF!,#REF!, 0))= "", "",INDEX(#REF!,MATCH(#REF!,#REF!, 0)) ), "")</f>
        <v/>
      </c>
      <c r="U76" s="121" t="str">
        <f>IFERROR(IF(INDEX(#REF!,MATCH(#REF!,#REF!, 0))= "", "",INDEX(#REF!,MATCH(#REF!,#REF!, 0)) ), "")</f>
        <v/>
      </c>
      <c r="V76" s="101" t="str">
        <f>IFERROR(IF(INDEX(#REF!,MATCH(#REF!,#REF!, 0))= "", "",INDEX(#REF!,MATCH(#REF!,#REF!, 0)) ), "")</f>
        <v/>
      </c>
      <c r="W76" s="42" t="str">
        <f>IFERROR(IF(INDEX(#REF!,MATCH(#REF!,#REF!, 0))= "", "",INDEX(#REF!,MATCH(#REF!,#REF!, 0)) ), "")</f>
        <v/>
      </c>
      <c r="X76" s="119">
        <v>3</v>
      </c>
      <c r="Y76" s="120"/>
    </row>
    <row r="77" spans="1:25" x14ac:dyDescent="0.25">
      <c r="A77" s="12" t="s">
        <v>348</v>
      </c>
      <c r="B77" s="118" t="s">
        <v>358</v>
      </c>
      <c r="C77" s="118" t="s">
        <v>250</v>
      </c>
      <c r="D77" s="9" t="s">
        <v>110</v>
      </c>
      <c r="E77" s="37">
        <v>37602</v>
      </c>
      <c r="F77" s="98">
        <v>1</v>
      </c>
      <c r="G77" s="128">
        <v>3</v>
      </c>
      <c r="H77" s="8">
        <v>3</v>
      </c>
      <c r="I77" s="8">
        <v>3</v>
      </c>
      <c r="J77" s="8">
        <v>4</v>
      </c>
      <c r="K77" s="99">
        <v>4</v>
      </c>
      <c r="L77" s="10">
        <v>3</v>
      </c>
      <c r="M77" s="13">
        <v>1</v>
      </c>
      <c r="N77" s="101">
        <v>3</v>
      </c>
      <c r="O77" s="99">
        <v>3</v>
      </c>
      <c r="P77" s="99">
        <v>4</v>
      </c>
      <c r="Q77" s="8">
        <v>1</v>
      </c>
      <c r="R77" s="20">
        <v>3</v>
      </c>
      <c r="S77" s="98" t="str">
        <f>IFERROR(IF(INDEX(#REF!,MATCH(#REF!,#REF!, 0))= "", "",INDEX(#REF!,MATCH(#REF!,#REF!, 0)) ), "")</f>
        <v/>
      </c>
      <c r="T77" s="8" t="str">
        <f>IFERROR(IF(INDEX(#REF!,MATCH(#REF!,#REF!, 0))= "", "",INDEX(#REF!,MATCH(#REF!,#REF!, 0)) ), "")</f>
        <v/>
      </c>
      <c r="U77" s="121" t="str">
        <f>IFERROR(IF(INDEX(#REF!,MATCH(#REF!,#REF!, 0))= "", "",INDEX(#REF!,MATCH(#REF!,#REF!, 0)) ), "")</f>
        <v/>
      </c>
      <c r="V77" s="101" t="str">
        <f>IFERROR(IF(INDEX(#REF!,MATCH(#REF!,#REF!, 0))= "", "",INDEX(#REF!,MATCH(#REF!,#REF!, 0)) ), "")</f>
        <v/>
      </c>
      <c r="W77" s="123" t="str">
        <f>IFERROR(IF(INDEX(#REF!,MATCH(#REF!,#REF!, 0))= "", "",INDEX(#REF!,MATCH(#REF!,#REF!, 0)) ), "")</f>
        <v/>
      </c>
      <c r="X77" s="119">
        <v>3</v>
      </c>
      <c r="Y77" s="120"/>
    </row>
    <row r="78" spans="1:25" x14ac:dyDescent="0.25">
      <c r="A78" s="12" t="s">
        <v>348</v>
      </c>
      <c r="B78" s="118" t="s">
        <v>358</v>
      </c>
      <c r="C78" s="118" t="s">
        <v>323</v>
      </c>
      <c r="D78" s="9" t="s">
        <v>183</v>
      </c>
      <c r="E78" s="37">
        <v>154615</v>
      </c>
      <c r="F78" s="98">
        <v>1</v>
      </c>
      <c r="G78" s="128">
        <v>3</v>
      </c>
      <c r="H78" s="8">
        <v>4</v>
      </c>
      <c r="I78" s="8">
        <v>4</v>
      </c>
      <c r="J78" s="8">
        <v>4</v>
      </c>
      <c r="K78" s="99">
        <v>3</v>
      </c>
      <c r="L78" s="10">
        <v>3</v>
      </c>
      <c r="M78" s="13">
        <v>2</v>
      </c>
      <c r="N78" s="101">
        <v>3</v>
      </c>
      <c r="O78" s="99">
        <v>3</v>
      </c>
      <c r="P78" s="99">
        <v>3</v>
      </c>
      <c r="Q78" s="8">
        <v>1</v>
      </c>
      <c r="R78" s="20">
        <v>3</v>
      </c>
      <c r="S78" s="98" t="str">
        <f>IFERROR(IF(INDEX(#REF!,MATCH(#REF!,#REF!, 0))= "", "",INDEX(#REF!,MATCH(#REF!,#REF!, 0)) ), "")</f>
        <v/>
      </c>
      <c r="T78" s="8" t="str">
        <f>IFERROR(IF(INDEX(#REF!,MATCH(#REF!,#REF!, 0))= "", "",INDEX(#REF!,MATCH(#REF!,#REF!, 0)) ), "")</f>
        <v/>
      </c>
      <c r="U78" s="121" t="str">
        <f>IFERROR(IF(INDEX(#REF!,MATCH(#REF!,#REF!, 0))= "", "",INDEX(#REF!,MATCH(#REF!,#REF!, 0)) ), "")</f>
        <v/>
      </c>
      <c r="V78" s="101" t="str">
        <f>IFERROR(IF(INDEX(#REF!,MATCH(#REF!,#REF!, 0))= "", "",INDEX(#REF!,MATCH(#REF!,#REF!, 0)) ), "")</f>
        <v/>
      </c>
      <c r="W78" s="42" t="str">
        <f>IFERROR(IF(INDEX(#REF!,MATCH(#REF!,#REF!, 0))= "", "",INDEX(#REF!,MATCH(#REF!,#REF!, 0)) ), "")</f>
        <v/>
      </c>
      <c r="X78" s="119">
        <v>3</v>
      </c>
      <c r="Y78" s="120"/>
    </row>
    <row r="79" spans="1:25" x14ac:dyDescent="0.25">
      <c r="A79" s="12" t="s">
        <v>348</v>
      </c>
      <c r="B79" s="118" t="s">
        <v>358</v>
      </c>
      <c r="C79" s="118" t="s">
        <v>289</v>
      </c>
      <c r="D79" s="9" t="s">
        <v>149</v>
      </c>
      <c r="E79" s="37">
        <v>39659</v>
      </c>
      <c r="F79" s="98">
        <v>1</v>
      </c>
      <c r="G79" s="128">
        <v>3</v>
      </c>
      <c r="H79" s="8">
        <v>4</v>
      </c>
      <c r="I79" s="8">
        <v>4</v>
      </c>
      <c r="J79" s="8">
        <v>4</v>
      </c>
      <c r="K79" s="99">
        <v>3</v>
      </c>
      <c r="L79" s="10">
        <v>3</v>
      </c>
      <c r="M79" s="13">
        <v>2</v>
      </c>
      <c r="N79" s="101">
        <v>3</v>
      </c>
      <c r="O79" s="99">
        <v>2</v>
      </c>
      <c r="P79" s="99">
        <v>1</v>
      </c>
      <c r="Q79" s="8">
        <v>1</v>
      </c>
      <c r="R79" s="20">
        <v>3</v>
      </c>
      <c r="S79" s="98" t="str">
        <f>IFERROR(IF(INDEX(#REF!,MATCH(#REF!,#REF!, 0))= "", "",INDEX(#REF!,MATCH(#REF!,#REF!, 0)) ), "")</f>
        <v/>
      </c>
      <c r="T79" s="8" t="str">
        <f>IFERROR(IF(INDEX(#REF!,MATCH(#REF!,#REF!, 0))= "", "",INDEX(#REF!,MATCH(#REF!,#REF!, 0)) ), "")</f>
        <v/>
      </c>
      <c r="U79" s="121" t="str">
        <f>IFERROR(IF(INDEX(#REF!,MATCH(#REF!,#REF!, 0))= "", "",INDEX(#REF!,MATCH(#REF!,#REF!, 0)) ), "")</f>
        <v/>
      </c>
      <c r="V79" s="101" t="str">
        <f>IFERROR(IF(INDEX(#REF!,MATCH(#REF!,#REF!, 0))= "", "",INDEX(#REF!,MATCH(#REF!,#REF!, 0)) ), "")</f>
        <v/>
      </c>
      <c r="W79" s="123" t="str">
        <f>IFERROR(IF(INDEX(#REF!,MATCH(#REF!,#REF!, 0))= "", "",INDEX(#REF!,MATCH(#REF!,#REF!, 0)) ), "")</f>
        <v/>
      </c>
      <c r="X79" s="119">
        <v>3</v>
      </c>
      <c r="Y79" s="120"/>
    </row>
    <row r="80" spans="1:25" x14ac:dyDescent="0.25">
      <c r="A80" s="12" t="s">
        <v>350</v>
      </c>
      <c r="B80" s="118" t="s">
        <v>360</v>
      </c>
      <c r="C80" s="118" t="s">
        <v>267</v>
      </c>
      <c r="D80" s="9" t="s">
        <v>127</v>
      </c>
      <c r="E80" s="37">
        <v>163137</v>
      </c>
      <c r="F80" s="98">
        <v>2</v>
      </c>
      <c r="G80" s="128">
        <v>3</v>
      </c>
      <c r="H80" s="8">
        <v>1</v>
      </c>
      <c r="I80" s="8">
        <v>3</v>
      </c>
      <c r="J80" s="8">
        <v>4</v>
      </c>
      <c r="K80" s="99">
        <v>4</v>
      </c>
      <c r="L80" s="10">
        <v>3</v>
      </c>
      <c r="M80" s="13">
        <v>2</v>
      </c>
      <c r="N80" s="101">
        <v>3</v>
      </c>
      <c r="O80" s="99">
        <v>4</v>
      </c>
      <c r="P80" s="99">
        <v>3</v>
      </c>
      <c r="Q80" s="8">
        <v>1</v>
      </c>
      <c r="R80" s="20">
        <v>3</v>
      </c>
      <c r="S80" s="98" t="str">
        <f>IFERROR(IF(INDEX(#REF!,MATCH(#REF!,#REF!, 0))= "", "",INDEX(#REF!,MATCH(#REF!,#REF!, 0)) ), "")</f>
        <v/>
      </c>
      <c r="T80" s="8" t="str">
        <f>IFERROR(IF(INDEX(#REF!,MATCH(#REF!,#REF!, 0))= "", "",INDEX(#REF!,MATCH(#REF!,#REF!, 0)) ), "")</f>
        <v/>
      </c>
      <c r="U80" s="121" t="str">
        <f>IFERROR(IF(INDEX(#REF!,MATCH(#REF!,#REF!, 0))= "", "",INDEX(#REF!,MATCH(#REF!,#REF!, 0)) ), "")</f>
        <v/>
      </c>
      <c r="V80" s="101" t="str">
        <f>IFERROR(IF(INDEX(#REF!,MATCH(#REF!,#REF!, 0))= "", "",INDEX(#REF!,MATCH(#REF!,#REF!, 0)) ), "")</f>
        <v/>
      </c>
      <c r="W80" s="42" t="str">
        <f>IFERROR(IF(INDEX(#REF!,MATCH(#REF!,#REF!, 0))= "", "",INDEX(#REF!,MATCH(#REF!,#REF!, 0)) ), "")</f>
        <v/>
      </c>
      <c r="X80" s="119">
        <v>3</v>
      </c>
      <c r="Y80" s="120"/>
    </row>
    <row r="81" spans="1:25" x14ac:dyDescent="0.25">
      <c r="A81" s="12" t="s">
        <v>350</v>
      </c>
      <c r="B81" s="118" t="s">
        <v>360</v>
      </c>
      <c r="C81" s="118" t="s">
        <v>286</v>
      </c>
      <c r="D81" s="9" t="s">
        <v>146</v>
      </c>
      <c r="E81" s="37">
        <v>78577</v>
      </c>
      <c r="F81" s="98">
        <v>2</v>
      </c>
      <c r="G81" s="128">
        <v>3</v>
      </c>
      <c r="H81" s="8">
        <v>1</v>
      </c>
      <c r="I81" s="8">
        <v>3</v>
      </c>
      <c r="J81" s="8">
        <v>3</v>
      </c>
      <c r="K81" s="99">
        <v>3</v>
      </c>
      <c r="L81" s="10">
        <v>3</v>
      </c>
      <c r="M81" s="13">
        <v>2</v>
      </c>
      <c r="N81" s="101">
        <v>3</v>
      </c>
      <c r="O81" s="99">
        <v>2</v>
      </c>
      <c r="P81" s="99">
        <v>3</v>
      </c>
      <c r="Q81" s="8">
        <v>1</v>
      </c>
      <c r="R81" s="20">
        <v>3</v>
      </c>
      <c r="S81" s="98" t="str">
        <f>IFERROR(IF(INDEX(#REF!,MATCH(#REF!,#REF!, 0))= "", "",INDEX(#REF!,MATCH(#REF!,#REF!, 0)) ), "")</f>
        <v/>
      </c>
      <c r="T81" s="8" t="str">
        <f>IFERROR(IF(INDEX(#REF!,MATCH(#REF!,#REF!, 0))= "", "",INDEX(#REF!,MATCH(#REF!,#REF!, 0)) ), "")</f>
        <v/>
      </c>
      <c r="U81" s="121" t="str">
        <f>IFERROR(IF(INDEX(#REF!,MATCH(#REF!,#REF!, 0))= "", "",INDEX(#REF!,MATCH(#REF!,#REF!, 0)) ), "")</f>
        <v/>
      </c>
      <c r="V81" s="101" t="str">
        <f>IFERROR(IF(INDEX(#REF!,MATCH(#REF!,#REF!, 0))= "", "",INDEX(#REF!,MATCH(#REF!,#REF!, 0)) ), "")</f>
        <v/>
      </c>
      <c r="W81" s="123" t="str">
        <f>IFERROR(IF(INDEX(#REF!,MATCH(#REF!,#REF!, 0))= "", "",INDEX(#REF!,MATCH(#REF!,#REF!, 0)) ), "")</f>
        <v/>
      </c>
      <c r="X81" s="119">
        <v>3</v>
      </c>
      <c r="Y81" s="120"/>
    </row>
    <row r="82" spans="1:25" x14ac:dyDescent="0.25">
      <c r="A82" s="12" t="s">
        <v>350</v>
      </c>
      <c r="B82" s="118" t="s">
        <v>360</v>
      </c>
      <c r="C82" s="118" t="s">
        <v>336</v>
      </c>
      <c r="D82" s="9" t="s">
        <v>196</v>
      </c>
      <c r="E82" s="37">
        <v>85152</v>
      </c>
      <c r="F82" s="98">
        <v>2</v>
      </c>
      <c r="G82" s="128">
        <v>3</v>
      </c>
      <c r="H82" s="8">
        <v>1</v>
      </c>
      <c r="I82" s="8">
        <v>3</v>
      </c>
      <c r="J82" s="8">
        <v>3</v>
      </c>
      <c r="K82" s="99">
        <v>3</v>
      </c>
      <c r="L82" s="10">
        <v>3</v>
      </c>
      <c r="M82" s="13">
        <v>1</v>
      </c>
      <c r="N82" s="101">
        <v>3</v>
      </c>
      <c r="O82" s="99">
        <v>2</v>
      </c>
      <c r="P82" s="99">
        <v>3</v>
      </c>
      <c r="Q82" s="8">
        <v>1</v>
      </c>
      <c r="R82" s="20">
        <v>3</v>
      </c>
      <c r="S82" s="98" t="str">
        <f>IFERROR(IF(INDEX(#REF!,MATCH(#REF!,#REF!, 0))= "", "",INDEX(#REF!,MATCH(#REF!,#REF!, 0)) ), "")</f>
        <v/>
      </c>
      <c r="T82" s="8" t="str">
        <f>IFERROR(IF(INDEX(#REF!,MATCH(#REF!,#REF!, 0))= "", "",INDEX(#REF!,MATCH(#REF!,#REF!, 0)) ), "")</f>
        <v/>
      </c>
      <c r="U82" s="121" t="str">
        <f>IFERROR(IF(INDEX(#REF!,MATCH(#REF!,#REF!, 0))= "", "",INDEX(#REF!,MATCH(#REF!,#REF!, 0)) ), "")</f>
        <v/>
      </c>
      <c r="V82" s="101" t="str">
        <f>IFERROR(IF(INDEX(#REF!,MATCH(#REF!,#REF!, 0))= "", "",INDEX(#REF!,MATCH(#REF!,#REF!, 0)) ), "")</f>
        <v/>
      </c>
      <c r="W82" s="123" t="str">
        <f>IFERROR(IF(INDEX(#REF!,MATCH(#REF!,#REF!, 0))= "", "",INDEX(#REF!,MATCH(#REF!,#REF!, 0)) ), "")</f>
        <v/>
      </c>
      <c r="X82" s="119">
        <v>3</v>
      </c>
      <c r="Y82" s="120"/>
    </row>
    <row r="83" spans="1:25" x14ac:dyDescent="0.25">
      <c r="A83" s="12" t="s">
        <v>350</v>
      </c>
      <c r="B83" s="118" t="s">
        <v>360</v>
      </c>
      <c r="C83" s="118" t="s">
        <v>236</v>
      </c>
      <c r="D83" s="9" t="s">
        <v>96</v>
      </c>
      <c r="E83" s="37">
        <v>31774</v>
      </c>
      <c r="F83" s="98">
        <v>1</v>
      </c>
      <c r="G83" s="128">
        <v>3</v>
      </c>
      <c r="H83" s="8">
        <v>1</v>
      </c>
      <c r="I83" s="8">
        <v>3</v>
      </c>
      <c r="J83" s="8">
        <v>3</v>
      </c>
      <c r="K83" s="99">
        <v>3</v>
      </c>
      <c r="L83" s="10">
        <v>3</v>
      </c>
      <c r="M83" s="13">
        <v>1</v>
      </c>
      <c r="N83" s="101">
        <v>3</v>
      </c>
      <c r="O83" s="99">
        <v>2</v>
      </c>
      <c r="P83" s="99">
        <v>3</v>
      </c>
      <c r="Q83" s="8">
        <v>1</v>
      </c>
      <c r="R83" s="20">
        <v>3</v>
      </c>
      <c r="S83" s="98" t="str">
        <f>IFERROR(IF(INDEX(#REF!,MATCH(#REF!,#REF!, 0))= "", "",INDEX(#REF!,MATCH(#REF!,#REF!, 0)) ), "")</f>
        <v/>
      </c>
      <c r="T83" s="8" t="str">
        <f>IFERROR(IF(INDEX(#REF!,MATCH(#REF!,#REF!, 0))= "", "",INDEX(#REF!,MATCH(#REF!,#REF!, 0)) ), "")</f>
        <v/>
      </c>
      <c r="U83" s="121" t="str">
        <f>IFERROR(IF(INDEX(#REF!,MATCH(#REF!,#REF!, 0))= "", "",INDEX(#REF!,MATCH(#REF!,#REF!, 0)) ), "")</f>
        <v/>
      </c>
      <c r="V83" s="101" t="str">
        <f>IFERROR(IF(INDEX(#REF!,MATCH(#REF!,#REF!, 0))= "", "",INDEX(#REF!,MATCH(#REF!,#REF!, 0)) ), "")</f>
        <v/>
      </c>
      <c r="W83" s="42" t="str">
        <f>IFERROR(IF(INDEX(#REF!,MATCH(#REF!,#REF!, 0))= "", "",INDEX(#REF!,MATCH(#REF!,#REF!, 0)) ), "")</f>
        <v/>
      </c>
      <c r="X83" s="119">
        <v>3</v>
      </c>
      <c r="Y83" s="120"/>
    </row>
    <row r="84" spans="1:25" x14ac:dyDescent="0.25">
      <c r="A84" s="12" t="s">
        <v>350</v>
      </c>
      <c r="B84" s="118" t="s">
        <v>360</v>
      </c>
      <c r="C84" s="118" t="s">
        <v>292</v>
      </c>
      <c r="D84" s="9" t="s">
        <v>152</v>
      </c>
      <c r="E84" s="37">
        <v>129573</v>
      </c>
      <c r="F84" s="98">
        <v>2</v>
      </c>
      <c r="G84" s="128">
        <v>3</v>
      </c>
      <c r="H84" s="8">
        <v>2</v>
      </c>
      <c r="I84" s="8">
        <v>3</v>
      </c>
      <c r="J84" s="8">
        <v>4</v>
      </c>
      <c r="K84" s="99">
        <v>4</v>
      </c>
      <c r="L84" s="10">
        <v>3</v>
      </c>
      <c r="M84" s="13">
        <v>2</v>
      </c>
      <c r="N84" s="101">
        <v>3</v>
      </c>
      <c r="O84" s="99">
        <v>4</v>
      </c>
      <c r="P84" s="99">
        <v>4</v>
      </c>
      <c r="Q84" s="8">
        <v>1</v>
      </c>
      <c r="R84" s="20">
        <v>3</v>
      </c>
      <c r="S84" s="98" t="str">
        <f>IFERROR(IF(INDEX(#REF!,MATCH(#REF!,#REF!, 0))= "", "",INDEX(#REF!,MATCH(#REF!,#REF!, 0)) ), "")</f>
        <v/>
      </c>
      <c r="T84" s="8" t="str">
        <f>IFERROR(IF(INDEX(#REF!,MATCH(#REF!,#REF!, 0))= "", "",INDEX(#REF!,MATCH(#REF!,#REF!, 0)) ), "")</f>
        <v/>
      </c>
      <c r="U84" s="121" t="str">
        <f>IFERROR(IF(INDEX(#REF!,MATCH(#REF!,#REF!, 0))= "", "",INDEX(#REF!,MATCH(#REF!,#REF!, 0)) ), "")</f>
        <v/>
      </c>
      <c r="V84" s="101" t="str">
        <f>IFERROR(IF(INDEX(#REF!,MATCH(#REF!,#REF!, 0))= "", "",INDEX(#REF!,MATCH(#REF!,#REF!, 0)) ), "")</f>
        <v/>
      </c>
      <c r="W84" s="122" t="str">
        <f>IFERROR(IF(INDEX(#REF!,MATCH(#REF!,#REF!, 0))= "", "",INDEX(#REF!,MATCH(#REF!,#REF!, 0)) ), "")</f>
        <v/>
      </c>
      <c r="X84" s="119">
        <v>3</v>
      </c>
      <c r="Y84" s="120"/>
    </row>
    <row r="85" spans="1:25" x14ac:dyDescent="0.25">
      <c r="A85" s="12" t="s">
        <v>350</v>
      </c>
      <c r="B85" s="118" t="s">
        <v>360</v>
      </c>
      <c r="C85" s="118" t="s">
        <v>328</v>
      </c>
      <c r="D85" s="9" t="s">
        <v>188</v>
      </c>
      <c r="E85" s="37">
        <v>52389</v>
      </c>
      <c r="F85" s="98">
        <v>2</v>
      </c>
      <c r="G85" s="128">
        <v>3</v>
      </c>
      <c r="H85" s="8">
        <v>2</v>
      </c>
      <c r="I85" s="8">
        <v>3</v>
      </c>
      <c r="J85" s="8">
        <v>4</v>
      </c>
      <c r="K85" s="99">
        <v>3</v>
      </c>
      <c r="L85" s="10">
        <v>3</v>
      </c>
      <c r="M85" s="13">
        <v>3</v>
      </c>
      <c r="N85" s="101">
        <v>3</v>
      </c>
      <c r="O85" s="99">
        <v>3</v>
      </c>
      <c r="P85" s="99">
        <v>3</v>
      </c>
      <c r="Q85" s="8">
        <v>3</v>
      </c>
      <c r="R85" s="20">
        <v>3</v>
      </c>
      <c r="S85" s="98" t="str">
        <f>IFERROR(IF(INDEX(#REF!,MATCH(#REF!,#REF!, 0))= "", "",INDEX(#REF!,MATCH(#REF!,#REF!, 0)) ), "")</f>
        <v/>
      </c>
      <c r="T85" s="8" t="str">
        <f>IFERROR(IF(INDEX(#REF!,MATCH(#REF!,#REF!, 0))= "", "",INDEX(#REF!,MATCH(#REF!,#REF!, 0)) ), "")</f>
        <v/>
      </c>
      <c r="U85" s="121" t="str">
        <f>IFERROR(IF(INDEX(#REF!,MATCH(#REF!,#REF!, 0))= "", "",INDEX(#REF!,MATCH(#REF!,#REF!, 0)) ), "")</f>
        <v/>
      </c>
      <c r="V85" s="101" t="str">
        <f>IFERROR(IF(INDEX(#REF!,MATCH(#REF!,#REF!, 0))= "", "",INDEX(#REF!,MATCH(#REF!,#REF!, 0)) ), "")</f>
        <v/>
      </c>
      <c r="W85" s="123" t="str">
        <f>IFERROR(IF(INDEX(#REF!,MATCH(#REF!,#REF!, 0))= "", "",INDEX(#REF!,MATCH(#REF!,#REF!, 0)) ), "")</f>
        <v/>
      </c>
      <c r="X85" s="119">
        <v>3</v>
      </c>
      <c r="Y85" s="120"/>
    </row>
    <row r="86" spans="1:25" x14ac:dyDescent="0.25">
      <c r="A86" s="12" t="s">
        <v>350</v>
      </c>
      <c r="B86" s="118" t="s">
        <v>360</v>
      </c>
      <c r="C86" s="118" t="s">
        <v>226</v>
      </c>
      <c r="D86" s="9" t="s">
        <v>86</v>
      </c>
      <c r="E86" s="37">
        <v>79705</v>
      </c>
      <c r="F86" s="98">
        <v>3</v>
      </c>
      <c r="G86" s="128">
        <v>3</v>
      </c>
      <c r="H86" s="8">
        <v>2</v>
      </c>
      <c r="I86" s="8">
        <v>3</v>
      </c>
      <c r="J86" s="8">
        <v>4</v>
      </c>
      <c r="K86" s="99">
        <v>3</v>
      </c>
      <c r="L86" s="10">
        <v>4</v>
      </c>
      <c r="M86" s="13">
        <v>3</v>
      </c>
      <c r="N86" s="101">
        <v>3</v>
      </c>
      <c r="O86" s="99">
        <v>3</v>
      </c>
      <c r="P86" s="99">
        <v>3</v>
      </c>
      <c r="Q86" s="8">
        <v>1</v>
      </c>
      <c r="R86" s="20">
        <v>3</v>
      </c>
      <c r="S86" s="98" t="str">
        <f>IFERROR(IF(INDEX(#REF!,MATCH(#REF!,#REF!, 0))= "", "",INDEX(#REF!,MATCH(#REF!,#REF!, 0)) ), "")</f>
        <v/>
      </c>
      <c r="T86" s="8" t="str">
        <f>IFERROR(IF(INDEX(#REF!,MATCH(#REF!,#REF!, 0))= "", "",INDEX(#REF!,MATCH(#REF!,#REF!, 0)) ), "")</f>
        <v/>
      </c>
      <c r="U86" s="121" t="str">
        <f>IFERROR(IF(INDEX(#REF!,MATCH(#REF!,#REF!, 0))= "", "",INDEX(#REF!,MATCH(#REF!,#REF!, 0)) ), "")</f>
        <v/>
      </c>
      <c r="V86" s="101" t="str">
        <f>IFERROR(IF(INDEX(#REF!,MATCH(#REF!,#REF!, 0))= "", "",INDEX(#REF!,MATCH(#REF!,#REF!, 0)) ), "")</f>
        <v/>
      </c>
      <c r="W86" s="123" t="str">
        <f>IFERROR(IF(INDEX(#REF!,MATCH(#REF!,#REF!, 0))= "", "",INDEX(#REF!,MATCH(#REF!,#REF!, 0)) ), "")</f>
        <v/>
      </c>
      <c r="X86" s="119">
        <v>3</v>
      </c>
      <c r="Y86" s="120"/>
    </row>
    <row r="87" spans="1:25" x14ac:dyDescent="0.25">
      <c r="A87" s="12" t="s">
        <v>350</v>
      </c>
      <c r="B87" s="118" t="s">
        <v>360</v>
      </c>
      <c r="C87" s="118" t="s">
        <v>279</v>
      </c>
      <c r="D87" s="9" t="s">
        <v>139</v>
      </c>
      <c r="E87" s="37">
        <v>65198</v>
      </c>
      <c r="F87" s="98">
        <v>3</v>
      </c>
      <c r="G87" s="128">
        <v>3</v>
      </c>
      <c r="H87" s="8">
        <v>2</v>
      </c>
      <c r="I87" s="8">
        <v>3</v>
      </c>
      <c r="J87" s="8">
        <v>4</v>
      </c>
      <c r="K87" s="99">
        <v>3</v>
      </c>
      <c r="L87" s="10">
        <v>4</v>
      </c>
      <c r="M87" s="13">
        <v>3</v>
      </c>
      <c r="N87" s="101">
        <v>3</v>
      </c>
      <c r="O87" s="99">
        <v>2</v>
      </c>
      <c r="P87" s="99">
        <v>3</v>
      </c>
      <c r="Q87" s="8">
        <v>1</v>
      </c>
      <c r="R87" s="20">
        <v>3</v>
      </c>
      <c r="S87" s="98" t="str">
        <f>IFERROR(IF(INDEX(#REF!,MATCH(#REF!,#REF!, 0))= "", "",INDEX(#REF!,MATCH(#REF!,#REF!, 0)) ), "")</f>
        <v/>
      </c>
      <c r="T87" s="8" t="str">
        <f>IFERROR(IF(INDEX(#REF!,MATCH(#REF!,#REF!, 0))= "", "",INDEX(#REF!,MATCH(#REF!,#REF!, 0)) ), "")</f>
        <v/>
      </c>
      <c r="U87" s="121" t="str">
        <f>IFERROR(IF(INDEX(#REF!,MATCH(#REF!,#REF!, 0))= "", "",INDEX(#REF!,MATCH(#REF!,#REF!, 0)) ), "")</f>
        <v/>
      </c>
      <c r="V87" s="101" t="str">
        <f>IFERROR(IF(INDEX(#REF!,MATCH(#REF!,#REF!, 0))= "", "",INDEX(#REF!,MATCH(#REF!,#REF!, 0)) ), "")</f>
        <v/>
      </c>
      <c r="W87" s="42" t="str">
        <f>IFERROR(IF(INDEX(#REF!,MATCH(#REF!,#REF!, 0))= "", "",INDEX(#REF!,MATCH(#REF!,#REF!, 0)) ), "")</f>
        <v/>
      </c>
      <c r="X87" s="119">
        <v>3</v>
      </c>
      <c r="Y87" s="120"/>
    </row>
    <row r="88" spans="1:25" x14ac:dyDescent="0.25">
      <c r="A88" s="12" t="s">
        <v>350</v>
      </c>
      <c r="B88" s="118" t="s">
        <v>360</v>
      </c>
      <c r="C88" s="118" t="s">
        <v>221</v>
      </c>
      <c r="D88" s="9" t="s">
        <v>81</v>
      </c>
      <c r="E88" s="37">
        <v>123067</v>
      </c>
      <c r="F88" s="98">
        <v>3</v>
      </c>
      <c r="G88" s="128">
        <v>3</v>
      </c>
      <c r="H88" s="8">
        <v>2</v>
      </c>
      <c r="I88" s="8">
        <v>3</v>
      </c>
      <c r="J88" s="8">
        <v>4</v>
      </c>
      <c r="K88" s="99">
        <v>4</v>
      </c>
      <c r="L88" s="10">
        <v>4</v>
      </c>
      <c r="M88" s="13">
        <v>3</v>
      </c>
      <c r="N88" s="101">
        <v>3</v>
      </c>
      <c r="O88" s="99">
        <v>4</v>
      </c>
      <c r="P88" s="99">
        <v>3</v>
      </c>
      <c r="Q88" s="8">
        <v>3</v>
      </c>
      <c r="R88" s="20">
        <v>3</v>
      </c>
      <c r="S88" s="98" t="str">
        <f>IFERROR(IF(INDEX(#REF!,MATCH(#REF!,#REF!, 0))= "", "",INDEX(#REF!,MATCH(#REF!,#REF!, 0)) ), "")</f>
        <v/>
      </c>
      <c r="T88" s="8" t="str">
        <f>IFERROR(IF(INDEX(#REF!,MATCH(#REF!,#REF!, 0))= "", "",INDEX(#REF!,MATCH(#REF!,#REF!, 0)) ), "")</f>
        <v/>
      </c>
      <c r="U88" s="121" t="str">
        <f>IFERROR(IF(INDEX(#REF!,MATCH(#REF!,#REF!, 0))= "", "",INDEX(#REF!,MATCH(#REF!,#REF!, 0)) ), "")</f>
        <v/>
      </c>
      <c r="V88" s="101" t="str">
        <f>IFERROR(IF(INDEX(#REF!,MATCH(#REF!,#REF!, 0))= "", "",INDEX(#REF!,MATCH(#REF!,#REF!, 0)) ), "")</f>
        <v/>
      </c>
      <c r="W88" s="122" t="str">
        <f>IFERROR(IF(INDEX(#REF!,MATCH(#REF!,#REF!, 0))= "", "",INDEX(#REF!,MATCH(#REF!,#REF!, 0)) ), "")</f>
        <v/>
      </c>
      <c r="X88" s="119">
        <v>3</v>
      </c>
      <c r="Y88" s="120"/>
    </row>
    <row r="89" spans="1:25" x14ac:dyDescent="0.25">
      <c r="A89" s="12" t="s">
        <v>350</v>
      </c>
      <c r="B89" s="118" t="s">
        <v>360</v>
      </c>
      <c r="C89" s="118" t="s">
        <v>329</v>
      </c>
      <c r="D89" s="9" t="s">
        <v>189</v>
      </c>
      <c r="E89" s="37">
        <v>46902</v>
      </c>
      <c r="F89" s="98">
        <v>1</v>
      </c>
      <c r="G89" s="128">
        <v>3</v>
      </c>
      <c r="H89" s="8">
        <v>2</v>
      </c>
      <c r="I89" s="8">
        <v>3</v>
      </c>
      <c r="J89" s="8">
        <v>3</v>
      </c>
      <c r="K89" s="99">
        <v>3</v>
      </c>
      <c r="L89" s="10">
        <v>3</v>
      </c>
      <c r="M89" s="13">
        <v>2</v>
      </c>
      <c r="N89" s="101">
        <v>3</v>
      </c>
      <c r="O89" s="99">
        <v>1</v>
      </c>
      <c r="P89" s="99">
        <v>3</v>
      </c>
      <c r="Q89" s="8">
        <v>1</v>
      </c>
      <c r="R89" s="20">
        <v>3</v>
      </c>
      <c r="S89" s="98" t="str">
        <f>IFERROR(IF(INDEX(#REF!,MATCH(#REF!,#REF!, 0))= "", "",INDEX(#REF!,MATCH(#REF!,#REF!, 0)) ), "")</f>
        <v/>
      </c>
      <c r="T89" s="8" t="str">
        <f>IFERROR(IF(INDEX(#REF!,MATCH(#REF!,#REF!, 0))= "", "",INDEX(#REF!,MATCH(#REF!,#REF!, 0)) ), "")</f>
        <v/>
      </c>
      <c r="U89" s="121" t="str">
        <f>IFERROR(IF(INDEX(#REF!,MATCH(#REF!,#REF!, 0))= "", "",INDEX(#REF!,MATCH(#REF!,#REF!, 0)) ), "")</f>
        <v/>
      </c>
      <c r="V89" s="101" t="str">
        <f>IFERROR(IF(INDEX(#REF!,MATCH(#REF!,#REF!, 0))= "", "",INDEX(#REF!,MATCH(#REF!,#REF!, 0)) ), "")</f>
        <v/>
      </c>
      <c r="W89" s="122" t="str">
        <f>IFERROR(IF(INDEX(#REF!,MATCH(#REF!,#REF!, 0))= "", "",INDEX(#REF!,MATCH(#REF!,#REF!, 0)) ), "")</f>
        <v/>
      </c>
      <c r="X89" s="119">
        <v>3</v>
      </c>
      <c r="Y89" s="120"/>
    </row>
    <row r="90" spans="1:25" x14ac:dyDescent="0.25">
      <c r="A90" s="12" t="s">
        <v>350</v>
      </c>
      <c r="B90" s="118" t="s">
        <v>360</v>
      </c>
      <c r="C90" s="118" t="s">
        <v>237</v>
      </c>
      <c r="D90" s="9" t="s">
        <v>97</v>
      </c>
      <c r="E90" s="37">
        <v>73041</v>
      </c>
      <c r="F90" s="98">
        <v>1</v>
      </c>
      <c r="G90" s="128">
        <v>3</v>
      </c>
      <c r="H90" s="8">
        <v>1</v>
      </c>
      <c r="I90" s="8">
        <v>3</v>
      </c>
      <c r="J90" s="8">
        <v>3</v>
      </c>
      <c r="K90" s="99">
        <v>3</v>
      </c>
      <c r="L90" s="10">
        <v>3</v>
      </c>
      <c r="M90" s="13">
        <v>1</v>
      </c>
      <c r="N90" s="101">
        <v>3</v>
      </c>
      <c r="O90" s="99">
        <v>1</v>
      </c>
      <c r="P90" s="99">
        <v>3</v>
      </c>
      <c r="Q90" s="8">
        <v>1</v>
      </c>
      <c r="R90" s="20">
        <v>3</v>
      </c>
      <c r="S90" s="98" t="str">
        <f>IFERROR(IF(INDEX(#REF!,MATCH(#REF!,#REF!, 0))= "", "",INDEX(#REF!,MATCH(#REF!,#REF!, 0)) ), "")</f>
        <v/>
      </c>
      <c r="T90" s="8" t="str">
        <f>IFERROR(IF(INDEX(#REF!,MATCH(#REF!,#REF!, 0))= "", "",INDEX(#REF!,MATCH(#REF!,#REF!, 0)) ), "")</f>
        <v/>
      </c>
      <c r="U90" s="121" t="str">
        <f>IFERROR(IF(INDEX(#REF!,MATCH(#REF!,#REF!, 0))= "", "",INDEX(#REF!,MATCH(#REF!,#REF!, 0)) ), "")</f>
        <v/>
      </c>
      <c r="V90" s="101" t="str">
        <f>IFERROR(IF(INDEX(#REF!,MATCH(#REF!,#REF!, 0))= "", "",INDEX(#REF!,MATCH(#REF!,#REF!, 0)) ), "")</f>
        <v/>
      </c>
      <c r="W90" s="122" t="str">
        <f>IFERROR(IF(INDEX(#REF!,MATCH(#REF!,#REF!, 0))= "", "",INDEX(#REF!,MATCH(#REF!,#REF!, 0)) ), "")</f>
        <v/>
      </c>
      <c r="X90" s="119">
        <v>3</v>
      </c>
      <c r="Y90" s="120"/>
    </row>
    <row r="91" spans="1:25" x14ac:dyDescent="0.25">
      <c r="A91" s="12" t="s">
        <v>350</v>
      </c>
      <c r="B91" s="118" t="s">
        <v>360</v>
      </c>
      <c r="C91" s="118" t="s">
        <v>334</v>
      </c>
      <c r="D91" s="9" t="s">
        <v>194</v>
      </c>
      <c r="E91" s="37">
        <v>85148</v>
      </c>
      <c r="F91" s="98">
        <v>2</v>
      </c>
      <c r="G91" s="128">
        <v>3</v>
      </c>
      <c r="H91" s="8">
        <v>1</v>
      </c>
      <c r="I91" s="8">
        <v>3</v>
      </c>
      <c r="J91" s="8">
        <v>3</v>
      </c>
      <c r="K91" s="99">
        <v>3</v>
      </c>
      <c r="L91" s="10">
        <v>3</v>
      </c>
      <c r="M91" s="13">
        <v>1</v>
      </c>
      <c r="N91" s="101">
        <v>3</v>
      </c>
      <c r="O91" s="99">
        <v>2</v>
      </c>
      <c r="P91" s="99">
        <v>3</v>
      </c>
      <c r="Q91" s="8">
        <v>1</v>
      </c>
      <c r="R91" s="20">
        <v>3</v>
      </c>
      <c r="S91" s="98" t="str">
        <f>IFERROR(IF(INDEX(#REF!,MATCH(#REF!,#REF!, 0))= "", "",INDEX(#REF!,MATCH(#REF!,#REF!, 0)) ), "")</f>
        <v/>
      </c>
      <c r="T91" s="8" t="str">
        <f>IFERROR(IF(INDEX(#REF!,MATCH(#REF!,#REF!, 0))= "", "",INDEX(#REF!,MATCH(#REF!,#REF!, 0)) ), "")</f>
        <v/>
      </c>
      <c r="U91" s="121" t="str">
        <f>IFERROR(IF(INDEX(#REF!,MATCH(#REF!,#REF!, 0))= "", "",INDEX(#REF!,MATCH(#REF!,#REF!, 0)) ), "")</f>
        <v/>
      </c>
      <c r="V91" s="101" t="str">
        <f>IFERROR(IF(INDEX(#REF!,MATCH(#REF!,#REF!, 0))= "", "",INDEX(#REF!,MATCH(#REF!,#REF!, 0)) ), "")</f>
        <v/>
      </c>
      <c r="W91" s="123" t="str">
        <f>IFERROR(IF(INDEX(#REF!,MATCH(#REF!,#REF!, 0))= "", "",INDEX(#REF!,MATCH(#REF!,#REF!, 0)) ), "")</f>
        <v/>
      </c>
      <c r="X91" s="119">
        <v>3</v>
      </c>
      <c r="Y91" s="120"/>
    </row>
    <row r="92" spans="1:25" x14ac:dyDescent="0.25">
      <c r="A92" s="12" t="s">
        <v>349</v>
      </c>
      <c r="B92" s="118" t="s">
        <v>359</v>
      </c>
      <c r="C92" s="118" t="s">
        <v>282</v>
      </c>
      <c r="D92" s="9" t="s">
        <v>142</v>
      </c>
      <c r="E92" s="37">
        <v>207439</v>
      </c>
      <c r="F92" s="98">
        <v>3</v>
      </c>
      <c r="G92" s="128">
        <v>3</v>
      </c>
      <c r="H92" s="8">
        <v>2</v>
      </c>
      <c r="I92" s="8">
        <v>3</v>
      </c>
      <c r="J92" s="8">
        <v>4</v>
      </c>
      <c r="K92" s="99">
        <v>3</v>
      </c>
      <c r="L92" s="10">
        <v>4</v>
      </c>
      <c r="M92" s="13">
        <v>2</v>
      </c>
      <c r="N92" s="101">
        <v>3</v>
      </c>
      <c r="O92" s="99">
        <v>3</v>
      </c>
      <c r="P92" s="99">
        <v>3</v>
      </c>
      <c r="Q92" s="8">
        <v>1</v>
      </c>
      <c r="R92" s="20">
        <v>3</v>
      </c>
      <c r="S92" s="98" t="str">
        <f>IFERROR(IF(INDEX(#REF!,MATCH(#REF!,#REF!, 0))= "", "",INDEX(#REF!,MATCH(#REF!,#REF!, 0)) ), "")</f>
        <v/>
      </c>
      <c r="T92" s="8" t="str">
        <f>IFERROR(IF(INDEX(#REF!,MATCH(#REF!,#REF!, 0))= "", "",INDEX(#REF!,MATCH(#REF!,#REF!, 0)) ), "")</f>
        <v/>
      </c>
      <c r="U92" s="121" t="str">
        <f>IFERROR(IF(INDEX(#REF!,MATCH(#REF!,#REF!, 0))= "", "",INDEX(#REF!,MATCH(#REF!,#REF!, 0)) ), "")</f>
        <v/>
      </c>
      <c r="V92" s="101" t="str">
        <f>IFERROR(IF(INDEX(#REF!,MATCH(#REF!,#REF!, 0))= "", "",INDEX(#REF!,MATCH(#REF!,#REF!, 0)) ), "")</f>
        <v/>
      </c>
      <c r="W92" s="42" t="str">
        <f>IFERROR(IF(INDEX(#REF!,MATCH(#REF!,#REF!, 0))= "", "",INDEX(#REF!,MATCH(#REF!,#REF!, 0)) ), "")</f>
        <v/>
      </c>
      <c r="X92" s="119">
        <v>3</v>
      </c>
      <c r="Y92" s="120"/>
    </row>
    <row r="93" spans="1:25" x14ac:dyDescent="0.25">
      <c r="A93" s="12" t="s">
        <v>349</v>
      </c>
      <c r="B93" s="118" t="s">
        <v>359</v>
      </c>
      <c r="C93" s="118" t="s">
        <v>338</v>
      </c>
      <c r="D93" s="9" t="s">
        <v>198</v>
      </c>
      <c r="E93" s="37">
        <v>93827</v>
      </c>
      <c r="F93" s="98">
        <v>3</v>
      </c>
      <c r="G93" s="8">
        <v>2</v>
      </c>
      <c r="H93" s="8">
        <v>2</v>
      </c>
      <c r="I93" s="8">
        <v>3</v>
      </c>
      <c r="J93" s="8">
        <v>4</v>
      </c>
      <c r="K93" s="99">
        <v>3</v>
      </c>
      <c r="L93" s="10">
        <v>4</v>
      </c>
      <c r="M93" s="13">
        <v>2</v>
      </c>
      <c r="N93" s="101">
        <v>3</v>
      </c>
      <c r="O93" s="99">
        <v>2</v>
      </c>
      <c r="P93" s="99">
        <v>3</v>
      </c>
      <c r="Q93" s="8">
        <v>1</v>
      </c>
      <c r="R93" s="20">
        <v>3</v>
      </c>
      <c r="S93" s="98" t="str">
        <f>IFERROR(IF(INDEX(#REF!,MATCH(#REF!,#REF!, 0))= "", "",INDEX(#REF!,MATCH(#REF!,#REF!, 0)) ), "")</f>
        <v/>
      </c>
      <c r="T93" s="8" t="str">
        <f>IFERROR(IF(INDEX(#REF!,MATCH(#REF!,#REF!, 0))= "", "",INDEX(#REF!,MATCH(#REF!,#REF!, 0)) ), "")</f>
        <v/>
      </c>
      <c r="U93" s="121" t="str">
        <f>IFERROR(IF(INDEX(#REF!,MATCH(#REF!,#REF!, 0))= "", "",INDEX(#REF!,MATCH(#REF!,#REF!, 0)) ), "")</f>
        <v/>
      </c>
      <c r="V93" s="101" t="str">
        <f>IFERROR(IF(INDEX(#REF!,MATCH(#REF!,#REF!, 0))= "", "",INDEX(#REF!,MATCH(#REF!,#REF!, 0)) ), "")</f>
        <v/>
      </c>
      <c r="W93" s="123" t="str">
        <f>IFERROR(IF(INDEX(#REF!,MATCH(#REF!,#REF!, 0))= "", "",INDEX(#REF!,MATCH(#REF!,#REF!, 0)) ), "")</f>
        <v/>
      </c>
      <c r="X93" s="119">
        <v>3</v>
      </c>
      <c r="Y93" s="120"/>
    </row>
    <row r="94" spans="1:25" x14ac:dyDescent="0.25">
      <c r="A94" s="12" t="s">
        <v>349</v>
      </c>
      <c r="B94" s="118" t="s">
        <v>359</v>
      </c>
      <c r="C94" s="118" t="s">
        <v>240</v>
      </c>
      <c r="D94" s="9" t="s">
        <v>100</v>
      </c>
      <c r="E94" s="37">
        <v>41237</v>
      </c>
      <c r="F94" s="98">
        <v>2</v>
      </c>
      <c r="G94" s="8">
        <v>2</v>
      </c>
      <c r="H94" s="8">
        <v>2</v>
      </c>
      <c r="I94" s="8">
        <v>3</v>
      </c>
      <c r="J94" s="8">
        <v>4</v>
      </c>
      <c r="K94" s="99">
        <v>3</v>
      </c>
      <c r="L94" s="10">
        <v>3</v>
      </c>
      <c r="M94" s="13">
        <v>2</v>
      </c>
      <c r="N94" s="101">
        <v>3</v>
      </c>
      <c r="O94" s="99">
        <v>2</v>
      </c>
      <c r="P94" s="99">
        <v>3</v>
      </c>
      <c r="Q94" s="8">
        <v>1</v>
      </c>
      <c r="R94" s="20">
        <v>3</v>
      </c>
      <c r="S94" s="98" t="str">
        <f>IFERROR(IF(INDEX(#REF!,MATCH(#REF!,#REF!, 0))= "", "",INDEX(#REF!,MATCH(#REF!,#REF!, 0)) ), "")</f>
        <v/>
      </c>
      <c r="T94" s="8" t="str">
        <f>IFERROR(IF(INDEX(#REF!,MATCH(#REF!,#REF!, 0))= "", "",INDEX(#REF!,MATCH(#REF!,#REF!, 0)) ), "")</f>
        <v/>
      </c>
      <c r="U94" s="121" t="str">
        <f>IFERROR(IF(INDEX(#REF!,MATCH(#REF!,#REF!, 0))= "", "",INDEX(#REF!,MATCH(#REF!,#REF!, 0)) ), "")</f>
        <v/>
      </c>
      <c r="V94" s="101" t="str">
        <f>IFERROR(IF(INDEX(#REF!,MATCH(#REF!,#REF!, 0))= "", "",INDEX(#REF!,MATCH(#REF!,#REF!, 0)) ), "")</f>
        <v/>
      </c>
      <c r="W94" s="124" t="str">
        <f>IFERROR(IF(INDEX(#REF!,MATCH(#REF!,#REF!, 0))= "", "",INDEX(#REF!,MATCH(#REF!,#REF!, 0)) ), "")</f>
        <v/>
      </c>
      <c r="X94" s="119">
        <v>3</v>
      </c>
      <c r="Y94" s="120"/>
    </row>
    <row r="95" spans="1:25" x14ac:dyDescent="0.25">
      <c r="A95" s="12" t="s">
        <v>349</v>
      </c>
      <c r="B95" s="118" t="s">
        <v>359</v>
      </c>
      <c r="C95" s="118" t="s">
        <v>228</v>
      </c>
      <c r="D95" s="9" t="s">
        <v>88</v>
      </c>
      <c r="E95" s="37">
        <v>51550</v>
      </c>
      <c r="F95" s="98">
        <v>1</v>
      </c>
      <c r="G95" s="128">
        <v>3</v>
      </c>
      <c r="H95" s="8">
        <v>2</v>
      </c>
      <c r="I95" s="8">
        <v>3</v>
      </c>
      <c r="J95" s="8">
        <v>4</v>
      </c>
      <c r="K95" s="99">
        <v>4</v>
      </c>
      <c r="L95" s="10">
        <v>3</v>
      </c>
      <c r="M95" s="13">
        <v>2</v>
      </c>
      <c r="N95" s="101">
        <v>3</v>
      </c>
      <c r="O95" s="99">
        <v>2</v>
      </c>
      <c r="P95" s="99">
        <v>4</v>
      </c>
      <c r="Q95" s="8">
        <v>1</v>
      </c>
      <c r="R95" s="20">
        <v>3</v>
      </c>
      <c r="S95" s="98" t="str">
        <f>IFERROR(IF(INDEX(#REF!,MATCH(#REF!,#REF!, 0))= "", "",INDEX(#REF!,MATCH(#REF!,#REF!, 0)) ), "")</f>
        <v/>
      </c>
      <c r="T95" s="8" t="str">
        <f>IFERROR(IF(INDEX(#REF!,MATCH(#REF!,#REF!, 0))= "", "",INDEX(#REF!,MATCH(#REF!,#REF!, 0)) ), "")</f>
        <v/>
      </c>
      <c r="U95" s="121" t="str">
        <f>IFERROR(IF(INDEX(#REF!,MATCH(#REF!,#REF!, 0))= "", "",INDEX(#REF!,MATCH(#REF!,#REF!, 0)) ), "")</f>
        <v/>
      </c>
      <c r="V95" s="101" t="str">
        <f>IFERROR(IF(INDEX(#REF!,MATCH(#REF!,#REF!, 0))= "", "",INDEX(#REF!,MATCH(#REF!,#REF!, 0)) ), "")</f>
        <v/>
      </c>
      <c r="W95" s="42" t="str">
        <f>IFERROR(IF(INDEX(#REF!,MATCH(#REF!,#REF!, 0))= "", "",INDEX(#REF!,MATCH(#REF!,#REF!, 0)) ), "")</f>
        <v/>
      </c>
      <c r="X95" s="119">
        <v>3</v>
      </c>
      <c r="Y95" s="120"/>
    </row>
    <row r="96" spans="1:25" x14ac:dyDescent="0.25">
      <c r="A96" s="12" t="s">
        <v>349</v>
      </c>
      <c r="B96" s="118" t="s">
        <v>359</v>
      </c>
      <c r="C96" s="118" t="s">
        <v>287</v>
      </c>
      <c r="D96" s="9" t="s">
        <v>147</v>
      </c>
      <c r="E96" s="37">
        <v>27507</v>
      </c>
      <c r="F96" s="98">
        <v>1</v>
      </c>
      <c r="G96" s="128">
        <v>3</v>
      </c>
      <c r="H96" s="8">
        <v>2</v>
      </c>
      <c r="I96" s="8">
        <v>3</v>
      </c>
      <c r="J96" s="8">
        <v>4</v>
      </c>
      <c r="K96" s="99">
        <v>3</v>
      </c>
      <c r="L96" s="10">
        <v>3</v>
      </c>
      <c r="M96" s="13">
        <v>2</v>
      </c>
      <c r="N96" s="101">
        <v>3</v>
      </c>
      <c r="O96" s="99">
        <v>1</v>
      </c>
      <c r="P96" s="99">
        <v>3</v>
      </c>
      <c r="Q96" s="8">
        <v>1</v>
      </c>
      <c r="R96" s="20">
        <v>3</v>
      </c>
      <c r="S96" s="98" t="str">
        <f>IFERROR(IF(INDEX(#REF!,MATCH(#REF!,#REF!, 0))= "", "",INDEX(#REF!,MATCH(#REF!,#REF!, 0)) ), "")</f>
        <v/>
      </c>
      <c r="T96" s="8" t="str">
        <f>IFERROR(IF(INDEX(#REF!,MATCH(#REF!,#REF!, 0))= "", "",INDEX(#REF!,MATCH(#REF!,#REF!, 0)) ), "")</f>
        <v/>
      </c>
      <c r="U96" s="121" t="str">
        <f>IFERROR(IF(INDEX(#REF!,MATCH(#REF!,#REF!, 0))= "", "",INDEX(#REF!,MATCH(#REF!,#REF!, 0)) ), "")</f>
        <v/>
      </c>
      <c r="V96" s="101" t="str">
        <f>IFERROR(IF(INDEX(#REF!,MATCH(#REF!,#REF!, 0))= "", "",INDEX(#REF!,MATCH(#REF!,#REF!, 0)) ), "")</f>
        <v/>
      </c>
      <c r="W96" s="123" t="str">
        <f>IFERROR(IF(INDEX(#REF!,MATCH(#REF!,#REF!, 0))= "", "",INDEX(#REF!,MATCH(#REF!,#REF!, 0)) ), "")</f>
        <v/>
      </c>
      <c r="X96" s="119">
        <v>3</v>
      </c>
      <c r="Y96" s="120"/>
    </row>
    <row r="97" spans="1:25" x14ac:dyDescent="0.25">
      <c r="A97" s="12" t="s">
        <v>349</v>
      </c>
      <c r="B97" s="118" t="s">
        <v>359</v>
      </c>
      <c r="C97" s="118" t="s">
        <v>268</v>
      </c>
      <c r="D97" s="9" t="s">
        <v>128</v>
      </c>
      <c r="E97" s="37">
        <v>17491</v>
      </c>
      <c r="F97" s="98">
        <v>1</v>
      </c>
      <c r="G97" s="128">
        <v>3</v>
      </c>
      <c r="H97" s="8">
        <v>2</v>
      </c>
      <c r="I97" s="8">
        <v>3</v>
      </c>
      <c r="J97" s="8">
        <v>4</v>
      </c>
      <c r="K97" s="99">
        <v>3</v>
      </c>
      <c r="L97" s="10">
        <v>3</v>
      </c>
      <c r="M97" s="13">
        <v>2</v>
      </c>
      <c r="N97" s="101">
        <v>3</v>
      </c>
      <c r="O97" s="99">
        <v>1</v>
      </c>
      <c r="P97" s="99">
        <v>3</v>
      </c>
      <c r="Q97" s="8">
        <v>1</v>
      </c>
      <c r="R97" s="20">
        <v>3</v>
      </c>
      <c r="S97" s="98" t="str">
        <f>IFERROR(IF(INDEX(#REF!,MATCH(#REF!,#REF!, 0))= "", "",INDEX(#REF!,MATCH(#REF!,#REF!, 0)) ), "")</f>
        <v/>
      </c>
      <c r="T97" s="8" t="str">
        <f>IFERROR(IF(INDEX(#REF!,MATCH(#REF!,#REF!, 0))= "", "",INDEX(#REF!,MATCH(#REF!,#REF!, 0)) ), "")</f>
        <v/>
      </c>
      <c r="U97" s="121" t="str">
        <f>IFERROR(IF(INDEX(#REF!,MATCH(#REF!,#REF!, 0))= "", "",INDEX(#REF!,MATCH(#REF!,#REF!, 0)) ), "")</f>
        <v/>
      </c>
      <c r="V97" s="101" t="str">
        <f>IFERROR(IF(INDEX(#REF!,MATCH(#REF!,#REF!, 0))= "", "",INDEX(#REF!,MATCH(#REF!,#REF!, 0)) ), "")</f>
        <v/>
      </c>
      <c r="W97" s="122" t="str">
        <f>IFERROR(IF(INDEX(#REF!,MATCH(#REF!,#REF!, 0))= "", "",INDEX(#REF!,MATCH(#REF!,#REF!, 0)) ), "")</f>
        <v/>
      </c>
      <c r="X97" s="119">
        <v>3</v>
      </c>
      <c r="Y97" s="120"/>
    </row>
    <row r="98" spans="1:25" x14ac:dyDescent="0.25">
      <c r="A98" s="12" t="s">
        <v>349</v>
      </c>
      <c r="B98" s="118" t="s">
        <v>359</v>
      </c>
      <c r="C98" s="118" t="s">
        <v>316</v>
      </c>
      <c r="D98" s="9" t="s">
        <v>176</v>
      </c>
      <c r="E98" s="37">
        <v>25431</v>
      </c>
      <c r="F98" s="98">
        <v>3</v>
      </c>
      <c r="G98" s="128">
        <v>3</v>
      </c>
      <c r="H98" s="8">
        <v>2</v>
      </c>
      <c r="I98" s="8">
        <v>3</v>
      </c>
      <c r="J98" s="8">
        <v>4</v>
      </c>
      <c r="K98" s="99">
        <v>3</v>
      </c>
      <c r="L98" s="10">
        <v>4</v>
      </c>
      <c r="M98" s="13">
        <v>3</v>
      </c>
      <c r="N98" s="101">
        <v>3</v>
      </c>
      <c r="O98" s="99">
        <v>2</v>
      </c>
      <c r="P98" s="99">
        <v>3</v>
      </c>
      <c r="Q98" s="8">
        <v>1</v>
      </c>
      <c r="R98" s="20">
        <v>3</v>
      </c>
      <c r="S98" s="98" t="str">
        <f>IFERROR(IF(INDEX(#REF!,MATCH(#REF!,#REF!, 0))= "", "",INDEX(#REF!,MATCH(#REF!,#REF!, 0)) ), "")</f>
        <v/>
      </c>
      <c r="T98" s="8" t="str">
        <f>IFERROR(IF(INDEX(#REF!,MATCH(#REF!,#REF!, 0))= "", "",INDEX(#REF!,MATCH(#REF!,#REF!, 0)) ), "")</f>
        <v/>
      </c>
      <c r="U98" s="121" t="str">
        <f>IFERROR(IF(INDEX(#REF!,MATCH(#REF!,#REF!, 0))= "", "",INDEX(#REF!,MATCH(#REF!,#REF!, 0)) ), "")</f>
        <v/>
      </c>
      <c r="V98" s="101" t="str">
        <f>IFERROR(IF(INDEX(#REF!,MATCH(#REF!,#REF!, 0))= "", "",INDEX(#REF!,MATCH(#REF!,#REF!, 0)) ), "")</f>
        <v/>
      </c>
      <c r="W98" s="122" t="str">
        <f>IFERROR(IF(INDEX(#REF!,MATCH(#REF!,#REF!, 0))= "", "",INDEX(#REF!,MATCH(#REF!,#REF!, 0)) ), "")</f>
        <v/>
      </c>
      <c r="X98" s="119">
        <v>3</v>
      </c>
      <c r="Y98" s="120"/>
    </row>
    <row r="99" spans="1:25" x14ac:dyDescent="0.25">
      <c r="A99" s="12" t="s">
        <v>349</v>
      </c>
      <c r="B99" s="118" t="s">
        <v>359</v>
      </c>
      <c r="C99" s="118" t="s">
        <v>325</v>
      </c>
      <c r="D99" s="9" t="s">
        <v>185</v>
      </c>
      <c r="E99" s="37">
        <v>35362</v>
      </c>
      <c r="F99" s="98">
        <v>3</v>
      </c>
      <c r="G99" s="128">
        <v>3</v>
      </c>
      <c r="H99" s="8">
        <v>2</v>
      </c>
      <c r="I99" s="8">
        <v>3</v>
      </c>
      <c r="J99" s="8">
        <v>4</v>
      </c>
      <c r="K99" s="99">
        <v>3</v>
      </c>
      <c r="L99" s="10">
        <v>4</v>
      </c>
      <c r="M99" s="13">
        <v>2</v>
      </c>
      <c r="N99" s="101">
        <v>3</v>
      </c>
      <c r="O99" s="99">
        <v>2</v>
      </c>
      <c r="P99" s="99">
        <v>3</v>
      </c>
      <c r="Q99" s="8">
        <v>1</v>
      </c>
      <c r="R99" s="20">
        <v>3</v>
      </c>
      <c r="S99" s="98" t="str">
        <f>IFERROR(IF(INDEX(#REF!,MATCH(#REF!,#REF!, 0))= "", "",INDEX(#REF!,MATCH(#REF!,#REF!, 0)) ), "")</f>
        <v/>
      </c>
      <c r="T99" s="8" t="str">
        <f>IFERROR(IF(INDEX(#REF!,MATCH(#REF!,#REF!, 0))= "", "",INDEX(#REF!,MATCH(#REF!,#REF!, 0)) ), "")</f>
        <v/>
      </c>
      <c r="U99" s="121" t="str">
        <f>IFERROR(IF(INDEX(#REF!,MATCH(#REF!,#REF!, 0))= "", "",INDEX(#REF!,MATCH(#REF!,#REF!, 0)) ), "")</f>
        <v/>
      </c>
      <c r="V99" s="101" t="str">
        <f>IFERROR(IF(INDEX(#REF!,MATCH(#REF!,#REF!, 0))= "", "",INDEX(#REF!,MATCH(#REF!,#REF!, 0)) ), "")</f>
        <v/>
      </c>
      <c r="W99" s="123" t="str">
        <f>IFERROR(IF(INDEX(#REF!,MATCH(#REF!,#REF!, 0))= "", "",INDEX(#REF!,MATCH(#REF!,#REF!, 0)) ), "")</f>
        <v/>
      </c>
      <c r="X99" s="119">
        <v>3</v>
      </c>
      <c r="Y99" s="120"/>
    </row>
    <row r="100" spans="1:25" x14ac:dyDescent="0.25">
      <c r="A100" s="12" t="s">
        <v>349</v>
      </c>
      <c r="B100" s="118" t="s">
        <v>359</v>
      </c>
      <c r="C100" s="118" t="s">
        <v>213</v>
      </c>
      <c r="D100" s="9" t="s">
        <v>73</v>
      </c>
      <c r="E100" s="37">
        <v>35838</v>
      </c>
      <c r="F100" s="98">
        <v>2</v>
      </c>
      <c r="G100" s="128">
        <v>3</v>
      </c>
      <c r="H100" s="8">
        <v>2</v>
      </c>
      <c r="I100" s="8">
        <v>3</v>
      </c>
      <c r="J100" s="8">
        <v>4</v>
      </c>
      <c r="K100" s="99">
        <v>3</v>
      </c>
      <c r="L100" s="10">
        <v>4</v>
      </c>
      <c r="M100" s="13">
        <v>2</v>
      </c>
      <c r="N100" s="101">
        <v>3</v>
      </c>
      <c r="O100" s="99">
        <v>2</v>
      </c>
      <c r="P100" s="99">
        <v>3</v>
      </c>
      <c r="Q100" s="8">
        <v>1</v>
      </c>
      <c r="R100" s="20">
        <v>3</v>
      </c>
      <c r="S100" s="98" t="str">
        <f>IFERROR(IF(INDEX(#REF!,MATCH(#REF!,#REF!, 0))= "", "",INDEX(#REF!,MATCH(#REF!,#REF!, 0)) ), "")</f>
        <v/>
      </c>
      <c r="T100" s="8" t="str">
        <f>IFERROR(IF(INDEX(#REF!,MATCH(#REF!,#REF!, 0))= "", "",INDEX(#REF!,MATCH(#REF!,#REF!, 0)) ), "")</f>
        <v/>
      </c>
      <c r="U100" s="121" t="str">
        <f>IFERROR(IF(INDEX(#REF!,MATCH(#REF!,#REF!, 0))= "", "",INDEX(#REF!,MATCH(#REF!,#REF!, 0)) ), "")</f>
        <v/>
      </c>
      <c r="V100" s="101" t="str">
        <f>IFERROR(IF(INDEX(#REF!,MATCH(#REF!,#REF!, 0))= "", "",INDEX(#REF!,MATCH(#REF!,#REF!, 0)) ), "")</f>
        <v/>
      </c>
      <c r="W100" s="42" t="str">
        <f>IFERROR(IF(INDEX(#REF!,MATCH(#REF!,#REF!, 0))= "", "",INDEX(#REF!,MATCH(#REF!,#REF!, 0)) ), "")</f>
        <v/>
      </c>
      <c r="X100" s="119">
        <v>3</v>
      </c>
      <c r="Y100" s="120"/>
    </row>
    <row r="101" spans="1:25" x14ac:dyDescent="0.25">
      <c r="A101" s="12" t="s">
        <v>349</v>
      </c>
      <c r="B101" s="118" t="s">
        <v>359</v>
      </c>
      <c r="C101" s="118" t="s">
        <v>210</v>
      </c>
      <c r="D101" s="9" t="s">
        <v>70</v>
      </c>
      <c r="E101" s="37">
        <v>123719</v>
      </c>
      <c r="F101" s="98">
        <v>3</v>
      </c>
      <c r="G101" s="128">
        <v>3</v>
      </c>
      <c r="H101" s="8">
        <v>3</v>
      </c>
      <c r="I101" s="8">
        <v>4</v>
      </c>
      <c r="J101" s="8">
        <v>4</v>
      </c>
      <c r="K101" s="99">
        <v>4</v>
      </c>
      <c r="L101" s="10">
        <v>3</v>
      </c>
      <c r="M101" s="13">
        <v>3</v>
      </c>
      <c r="N101" s="101">
        <v>4</v>
      </c>
      <c r="O101" s="99">
        <v>2</v>
      </c>
      <c r="P101" s="99">
        <v>3</v>
      </c>
      <c r="Q101" s="8">
        <v>1</v>
      </c>
      <c r="R101" s="20">
        <v>3</v>
      </c>
      <c r="S101" s="98" t="str">
        <f>IFERROR(IF(INDEX(#REF!,MATCH(#REF!,#REF!, 0))= "", "",INDEX(#REF!,MATCH(#REF!,#REF!, 0)) ), "")</f>
        <v/>
      </c>
      <c r="T101" s="8" t="str">
        <f>IFERROR(IF(INDEX(#REF!,MATCH(#REF!,#REF!, 0))= "", "",INDEX(#REF!,MATCH(#REF!,#REF!, 0)) ), "")</f>
        <v/>
      </c>
      <c r="U101" s="121" t="str">
        <f>IFERROR(IF(INDEX(#REF!,MATCH(#REF!,#REF!, 0))= "", "",INDEX(#REF!,MATCH(#REF!,#REF!, 0)) ), "")</f>
        <v/>
      </c>
      <c r="V101" s="101" t="str">
        <f>IFERROR(IF(INDEX(#REF!,MATCH(#REF!,#REF!, 0))= "", "",INDEX(#REF!,MATCH(#REF!,#REF!, 0)) ), "")</f>
        <v/>
      </c>
      <c r="W101" s="122" t="str">
        <f>IFERROR(IF(INDEX(#REF!,MATCH(#REF!,#REF!, 0))= "", "",INDEX(#REF!,MATCH(#REF!,#REF!, 0)) ), "")</f>
        <v/>
      </c>
      <c r="X101" s="119">
        <v>3</v>
      </c>
      <c r="Y101" s="120"/>
    </row>
    <row r="102" spans="1:25" x14ac:dyDescent="0.25">
      <c r="A102" s="12" t="s">
        <v>349</v>
      </c>
      <c r="B102" s="118" t="s">
        <v>359</v>
      </c>
      <c r="C102" s="118" t="s">
        <v>326</v>
      </c>
      <c r="D102" s="9" t="s">
        <v>186</v>
      </c>
      <c r="E102" s="37">
        <v>80295</v>
      </c>
      <c r="F102" s="98">
        <v>3</v>
      </c>
      <c r="G102" s="128">
        <v>3</v>
      </c>
      <c r="H102" s="8">
        <v>2</v>
      </c>
      <c r="I102" s="8">
        <v>3</v>
      </c>
      <c r="J102" s="8">
        <v>4</v>
      </c>
      <c r="K102" s="99">
        <v>3</v>
      </c>
      <c r="L102" s="10">
        <v>4</v>
      </c>
      <c r="M102" s="13">
        <v>3</v>
      </c>
      <c r="N102" s="101">
        <v>3</v>
      </c>
      <c r="O102" s="99">
        <v>2</v>
      </c>
      <c r="P102" s="99">
        <v>3</v>
      </c>
      <c r="Q102" s="8">
        <v>1</v>
      </c>
      <c r="R102" s="20">
        <v>3</v>
      </c>
      <c r="S102" s="98" t="str">
        <f>IFERROR(IF(INDEX(#REF!,MATCH(#REF!,#REF!, 0))= "", "",INDEX(#REF!,MATCH(#REF!,#REF!, 0)) ), "")</f>
        <v/>
      </c>
      <c r="T102" s="8" t="str">
        <f>IFERROR(IF(INDEX(#REF!,MATCH(#REF!,#REF!, 0))= "", "",INDEX(#REF!,MATCH(#REF!,#REF!, 0)) ), "")</f>
        <v/>
      </c>
      <c r="U102" s="121" t="str">
        <f>IFERROR(IF(INDEX(#REF!,MATCH(#REF!,#REF!, 0))= "", "",INDEX(#REF!,MATCH(#REF!,#REF!, 0)) ), "")</f>
        <v/>
      </c>
      <c r="V102" s="101" t="str">
        <f>IFERROR(IF(INDEX(#REF!,MATCH(#REF!,#REF!, 0))= "", "",INDEX(#REF!,MATCH(#REF!,#REF!, 0)) ), "")</f>
        <v/>
      </c>
      <c r="W102" s="123" t="str">
        <f>IFERROR(IF(INDEX(#REF!,MATCH(#REF!,#REF!, 0))= "", "",INDEX(#REF!,MATCH(#REF!,#REF!, 0)) ), "")</f>
        <v/>
      </c>
      <c r="X102" s="119">
        <v>3</v>
      </c>
      <c r="Y102" s="120"/>
    </row>
    <row r="103" spans="1:25" x14ac:dyDescent="0.25">
      <c r="A103" s="12" t="s">
        <v>349</v>
      </c>
      <c r="B103" s="118" t="s">
        <v>359</v>
      </c>
      <c r="C103" s="118" t="s">
        <v>234</v>
      </c>
      <c r="D103" s="9" t="s">
        <v>94</v>
      </c>
      <c r="E103" s="37">
        <v>63397</v>
      </c>
      <c r="F103" s="98">
        <v>3</v>
      </c>
      <c r="G103" s="128">
        <v>3</v>
      </c>
      <c r="H103" s="8">
        <v>2</v>
      </c>
      <c r="I103" s="8">
        <v>3</v>
      </c>
      <c r="J103" s="8">
        <v>4</v>
      </c>
      <c r="K103" s="99">
        <v>3</v>
      </c>
      <c r="L103" s="10">
        <v>4</v>
      </c>
      <c r="M103" s="13">
        <v>3</v>
      </c>
      <c r="N103" s="101">
        <v>3</v>
      </c>
      <c r="O103" s="99">
        <v>2</v>
      </c>
      <c r="P103" s="99">
        <v>3</v>
      </c>
      <c r="Q103" s="8">
        <v>1</v>
      </c>
      <c r="R103" s="20">
        <v>3</v>
      </c>
      <c r="S103" s="98" t="str">
        <f>IFERROR(IF(INDEX(#REF!,MATCH(#REF!,#REF!, 0))= "", "",INDEX(#REF!,MATCH(#REF!,#REF!, 0)) ), "")</f>
        <v/>
      </c>
      <c r="T103" s="8" t="str">
        <f>IFERROR(IF(INDEX(#REF!,MATCH(#REF!,#REF!, 0))= "", "",INDEX(#REF!,MATCH(#REF!,#REF!, 0)) ), "")</f>
        <v/>
      </c>
      <c r="U103" s="121" t="str">
        <f>IFERROR(IF(INDEX(#REF!,MATCH(#REF!,#REF!, 0))= "", "",INDEX(#REF!,MATCH(#REF!,#REF!, 0)) ), "")</f>
        <v/>
      </c>
      <c r="V103" s="101" t="str">
        <f>IFERROR(IF(INDEX(#REF!,MATCH(#REF!,#REF!, 0))= "", "",INDEX(#REF!,MATCH(#REF!,#REF!, 0)) ), "")</f>
        <v/>
      </c>
      <c r="W103" s="123" t="str">
        <f>IFERROR(IF(INDEX(#REF!,MATCH(#REF!,#REF!, 0))= "", "",INDEX(#REF!,MATCH(#REF!,#REF!, 0)) ), "")</f>
        <v/>
      </c>
      <c r="X103" s="119">
        <v>3</v>
      </c>
      <c r="Y103" s="120"/>
    </row>
    <row r="104" spans="1:25" x14ac:dyDescent="0.25">
      <c r="A104" s="12" t="s">
        <v>349</v>
      </c>
      <c r="B104" s="118" t="s">
        <v>359</v>
      </c>
      <c r="C104" s="118" t="s">
        <v>245</v>
      </c>
      <c r="D104" s="9" t="s">
        <v>105</v>
      </c>
      <c r="E104" s="37">
        <v>25395</v>
      </c>
      <c r="F104" s="98">
        <v>1</v>
      </c>
      <c r="G104" s="128">
        <v>3</v>
      </c>
      <c r="H104" s="8">
        <v>2</v>
      </c>
      <c r="I104" s="8">
        <v>3</v>
      </c>
      <c r="J104" s="8">
        <v>4</v>
      </c>
      <c r="K104" s="99">
        <v>3</v>
      </c>
      <c r="L104" s="10">
        <v>3</v>
      </c>
      <c r="M104" s="13">
        <v>1</v>
      </c>
      <c r="N104" s="101">
        <v>3</v>
      </c>
      <c r="O104" s="99">
        <v>1</v>
      </c>
      <c r="P104" s="99">
        <v>3</v>
      </c>
      <c r="Q104" s="8">
        <v>1</v>
      </c>
      <c r="R104" s="20">
        <v>3</v>
      </c>
      <c r="S104" s="98" t="str">
        <f>IFERROR(IF(INDEX(#REF!,MATCH(#REF!,#REF!, 0))= "", "",INDEX(#REF!,MATCH(#REF!,#REF!, 0)) ), "")</f>
        <v/>
      </c>
      <c r="T104" s="8" t="str">
        <f>IFERROR(IF(INDEX(#REF!,MATCH(#REF!,#REF!, 0))= "", "",INDEX(#REF!,MATCH(#REF!,#REF!, 0)) ), "")</f>
        <v/>
      </c>
      <c r="U104" s="121" t="str">
        <f>IFERROR(IF(INDEX(#REF!,MATCH(#REF!,#REF!, 0))= "", "",INDEX(#REF!,MATCH(#REF!,#REF!, 0)) ), "")</f>
        <v/>
      </c>
      <c r="V104" s="101" t="str">
        <f>IFERROR(IF(INDEX(#REF!,MATCH(#REF!,#REF!, 0))= "", "",INDEX(#REF!,MATCH(#REF!,#REF!, 0)) ), "")</f>
        <v/>
      </c>
      <c r="W104" s="123" t="str">
        <f>IFERROR(IF(INDEX(#REF!,MATCH(#REF!,#REF!, 0))= "", "",INDEX(#REF!,MATCH(#REF!,#REF!, 0)) ), "")</f>
        <v/>
      </c>
      <c r="X104" s="119">
        <v>3</v>
      </c>
      <c r="Y104" s="120"/>
    </row>
    <row r="105" spans="1:25" x14ac:dyDescent="0.25">
      <c r="A105" s="12" t="s">
        <v>349</v>
      </c>
      <c r="B105" s="118" t="s">
        <v>359</v>
      </c>
      <c r="C105" s="118" t="s">
        <v>312</v>
      </c>
      <c r="D105" s="9" t="s">
        <v>172</v>
      </c>
      <c r="E105" s="37">
        <v>26647</v>
      </c>
      <c r="F105" s="98">
        <v>3</v>
      </c>
      <c r="G105" s="8">
        <v>2</v>
      </c>
      <c r="H105" s="8">
        <v>3</v>
      </c>
      <c r="I105" s="8">
        <v>3</v>
      </c>
      <c r="J105" s="8">
        <v>4</v>
      </c>
      <c r="K105" s="99">
        <v>3</v>
      </c>
      <c r="L105" s="10">
        <v>4</v>
      </c>
      <c r="M105" s="13">
        <v>2</v>
      </c>
      <c r="N105" s="101">
        <v>3</v>
      </c>
      <c r="O105" s="99">
        <v>3</v>
      </c>
      <c r="P105" s="99">
        <v>3</v>
      </c>
      <c r="Q105" s="8">
        <v>1</v>
      </c>
      <c r="R105" s="20">
        <v>3</v>
      </c>
      <c r="S105" s="98" t="str">
        <f>IFERROR(IF(INDEX(#REF!,MATCH(#REF!,#REF!, 0))= "", "",INDEX(#REF!,MATCH(#REF!,#REF!, 0)) ), "")</f>
        <v/>
      </c>
      <c r="T105" s="8" t="str">
        <f>IFERROR(IF(INDEX(#REF!,MATCH(#REF!,#REF!, 0))= "", "",INDEX(#REF!,MATCH(#REF!,#REF!, 0)) ), "")</f>
        <v/>
      </c>
      <c r="U105" s="121" t="str">
        <f>IFERROR(IF(INDEX(#REF!,MATCH(#REF!,#REF!, 0))= "", "",INDEX(#REF!,MATCH(#REF!,#REF!, 0)) ), "")</f>
        <v/>
      </c>
      <c r="V105" s="101" t="str">
        <f>IFERROR(IF(INDEX(#REF!,MATCH(#REF!,#REF!, 0))= "", "",INDEX(#REF!,MATCH(#REF!,#REF!, 0)) ), "")</f>
        <v/>
      </c>
      <c r="W105" s="42" t="str">
        <f>IFERROR(IF(INDEX(#REF!,MATCH(#REF!,#REF!, 0))= "", "",INDEX(#REF!,MATCH(#REF!,#REF!, 0)) ), "")</f>
        <v/>
      </c>
      <c r="X105" s="119">
        <v>3</v>
      </c>
      <c r="Y105" s="120"/>
    </row>
    <row r="106" spans="1:25" x14ac:dyDescent="0.25">
      <c r="A106" s="12" t="s">
        <v>349</v>
      </c>
      <c r="B106" s="118" t="s">
        <v>359</v>
      </c>
      <c r="C106" s="118" t="s">
        <v>319</v>
      </c>
      <c r="D106" s="9" t="s">
        <v>179</v>
      </c>
      <c r="E106" s="37">
        <v>28335</v>
      </c>
      <c r="F106" s="98">
        <v>3</v>
      </c>
      <c r="G106" s="128">
        <v>3</v>
      </c>
      <c r="H106" s="8">
        <v>3</v>
      </c>
      <c r="I106" s="8">
        <v>3</v>
      </c>
      <c r="J106" s="8">
        <v>4</v>
      </c>
      <c r="K106" s="99">
        <v>3</v>
      </c>
      <c r="L106" s="10">
        <v>4</v>
      </c>
      <c r="M106" s="13">
        <v>2</v>
      </c>
      <c r="N106" s="101">
        <v>3</v>
      </c>
      <c r="O106" s="99">
        <v>3</v>
      </c>
      <c r="P106" s="99">
        <v>3</v>
      </c>
      <c r="Q106" s="8">
        <v>1</v>
      </c>
      <c r="R106" s="20">
        <v>3</v>
      </c>
      <c r="S106" s="98" t="str">
        <f>IFERROR(IF(INDEX(#REF!,MATCH(#REF!,#REF!, 0))= "", "",INDEX(#REF!,MATCH(#REF!,#REF!, 0)) ), "")</f>
        <v/>
      </c>
      <c r="T106" s="8" t="str">
        <f>IFERROR(IF(INDEX(#REF!,MATCH(#REF!,#REF!, 0))= "", "",INDEX(#REF!,MATCH(#REF!,#REF!, 0)) ), "")</f>
        <v/>
      </c>
      <c r="U106" s="121" t="str">
        <f>IFERROR(IF(INDEX(#REF!,MATCH(#REF!,#REF!, 0))= "", "",INDEX(#REF!,MATCH(#REF!,#REF!, 0)) ), "")</f>
        <v/>
      </c>
      <c r="V106" s="101" t="str">
        <f>IFERROR(IF(INDEX(#REF!,MATCH(#REF!,#REF!, 0))= "", "",INDEX(#REF!,MATCH(#REF!,#REF!, 0)) ), "")</f>
        <v/>
      </c>
      <c r="W106" s="122" t="str">
        <f>IFERROR(IF(INDEX(#REF!,MATCH(#REF!,#REF!, 0))= "", "",INDEX(#REF!,MATCH(#REF!,#REF!, 0)) ), "")</f>
        <v/>
      </c>
      <c r="X106" s="119">
        <v>3</v>
      </c>
      <c r="Y106" s="120"/>
    </row>
    <row r="107" spans="1:25" x14ac:dyDescent="0.25">
      <c r="A107" s="12" t="s">
        <v>349</v>
      </c>
      <c r="B107" s="118" t="s">
        <v>359</v>
      </c>
      <c r="C107" s="118" t="s">
        <v>241</v>
      </c>
      <c r="D107" s="9" t="s">
        <v>101</v>
      </c>
      <c r="E107" s="37">
        <v>32835</v>
      </c>
      <c r="F107" s="98">
        <v>3</v>
      </c>
      <c r="G107" s="128">
        <v>3</v>
      </c>
      <c r="H107" s="8">
        <v>2</v>
      </c>
      <c r="I107" s="8">
        <v>3</v>
      </c>
      <c r="J107" s="8">
        <v>4</v>
      </c>
      <c r="K107" s="99">
        <v>3</v>
      </c>
      <c r="L107" s="10">
        <v>4</v>
      </c>
      <c r="M107" s="13">
        <v>2</v>
      </c>
      <c r="N107" s="101">
        <v>3</v>
      </c>
      <c r="O107" s="99">
        <v>2</v>
      </c>
      <c r="P107" s="99">
        <v>3</v>
      </c>
      <c r="Q107" s="8">
        <v>1</v>
      </c>
      <c r="R107" s="20">
        <v>3</v>
      </c>
      <c r="S107" s="98" t="str">
        <f>IFERROR(IF(INDEX(#REF!,MATCH(#REF!,#REF!, 0))= "", "",INDEX(#REF!,MATCH(#REF!,#REF!, 0)) ), "")</f>
        <v/>
      </c>
      <c r="T107" s="8" t="str">
        <f>IFERROR(IF(INDEX(#REF!,MATCH(#REF!,#REF!, 0))= "", "",INDEX(#REF!,MATCH(#REF!,#REF!, 0)) ), "")</f>
        <v/>
      </c>
      <c r="U107" s="121" t="str">
        <f>IFERROR(IF(INDEX(#REF!,MATCH(#REF!,#REF!, 0))= "", "",INDEX(#REF!,MATCH(#REF!,#REF!, 0)) ), "")</f>
        <v/>
      </c>
      <c r="V107" s="101" t="str">
        <f>IFERROR(IF(INDEX(#REF!,MATCH(#REF!,#REF!, 0))= "", "",INDEX(#REF!,MATCH(#REF!,#REF!, 0)) ), "")</f>
        <v/>
      </c>
      <c r="W107" s="122" t="str">
        <f>IFERROR(IF(INDEX(#REF!,MATCH(#REF!,#REF!, 0))= "", "",INDEX(#REF!,MATCH(#REF!,#REF!, 0)) ), "")</f>
        <v/>
      </c>
      <c r="X107" s="119">
        <v>3</v>
      </c>
      <c r="Y107" s="120"/>
    </row>
    <row r="108" spans="1:25" x14ac:dyDescent="0.25">
      <c r="A108" s="12" t="s">
        <v>349</v>
      </c>
      <c r="B108" s="118" t="s">
        <v>359</v>
      </c>
      <c r="C108" s="118" t="s">
        <v>281</v>
      </c>
      <c r="D108" s="9" t="s">
        <v>141</v>
      </c>
      <c r="E108" s="37">
        <v>39577</v>
      </c>
      <c r="F108" s="98">
        <v>3</v>
      </c>
      <c r="G108" s="128">
        <v>3</v>
      </c>
      <c r="H108" s="8">
        <v>2</v>
      </c>
      <c r="I108" s="8">
        <v>3</v>
      </c>
      <c r="J108" s="8">
        <v>4</v>
      </c>
      <c r="K108" s="99">
        <v>3</v>
      </c>
      <c r="L108" s="10">
        <v>4</v>
      </c>
      <c r="M108" s="13">
        <v>2</v>
      </c>
      <c r="N108" s="101">
        <v>3</v>
      </c>
      <c r="O108" s="99">
        <v>2</v>
      </c>
      <c r="P108" s="99">
        <v>3</v>
      </c>
      <c r="Q108" s="8">
        <v>1</v>
      </c>
      <c r="R108" s="20">
        <v>3</v>
      </c>
      <c r="S108" s="98" t="str">
        <f>IFERROR(IF(INDEX(#REF!,MATCH(#REF!,#REF!, 0))= "", "",INDEX(#REF!,MATCH(#REF!,#REF!, 0)) ), "")</f>
        <v/>
      </c>
      <c r="T108" s="8" t="str">
        <f>IFERROR(IF(INDEX(#REF!,MATCH(#REF!,#REF!, 0))= "", "",INDEX(#REF!,MATCH(#REF!,#REF!, 0)) ), "")</f>
        <v/>
      </c>
      <c r="U108" s="121" t="str">
        <f>IFERROR(IF(INDEX(#REF!,MATCH(#REF!,#REF!, 0))= "", "",INDEX(#REF!,MATCH(#REF!,#REF!, 0)) ), "")</f>
        <v/>
      </c>
      <c r="V108" s="101" t="str">
        <f>IFERROR(IF(INDEX(#REF!,MATCH(#REF!,#REF!, 0))= "", "",INDEX(#REF!,MATCH(#REF!,#REF!, 0)) ), "")</f>
        <v/>
      </c>
      <c r="W108" s="122" t="str">
        <f>IFERROR(IF(INDEX(#REF!,MATCH(#REF!,#REF!, 0))= "", "",INDEX(#REF!,MATCH(#REF!,#REF!, 0)) ), "")</f>
        <v/>
      </c>
      <c r="X108" s="119">
        <v>3</v>
      </c>
      <c r="Y108" s="120"/>
    </row>
    <row r="109" spans="1:25" x14ac:dyDescent="0.25">
      <c r="A109" s="12" t="s">
        <v>349</v>
      </c>
      <c r="B109" s="118" t="s">
        <v>359</v>
      </c>
      <c r="C109" s="118" t="s">
        <v>337</v>
      </c>
      <c r="D109" s="9" t="s">
        <v>197</v>
      </c>
      <c r="E109" s="37">
        <v>28474</v>
      </c>
      <c r="F109" s="98">
        <v>2</v>
      </c>
      <c r="G109" s="128">
        <v>3</v>
      </c>
      <c r="H109" s="8">
        <v>2</v>
      </c>
      <c r="I109" s="8">
        <v>3</v>
      </c>
      <c r="J109" s="8">
        <v>4</v>
      </c>
      <c r="K109" s="99">
        <v>3</v>
      </c>
      <c r="L109" s="10">
        <v>4</v>
      </c>
      <c r="M109" s="13">
        <v>2</v>
      </c>
      <c r="N109" s="101">
        <v>3</v>
      </c>
      <c r="O109" s="99">
        <v>1</v>
      </c>
      <c r="P109" s="99">
        <v>3</v>
      </c>
      <c r="Q109" s="8">
        <v>2</v>
      </c>
      <c r="R109" s="20">
        <v>3</v>
      </c>
      <c r="S109" s="98" t="str">
        <f>IFERROR(IF(INDEX(#REF!,MATCH(#REF!,#REF!, 0))= "", "",INDEX(#REF!,MATCH(#REF!,#REF!, 0)) ), "")</f>
        <v/>
      </c>
      <c r="T109" s="8" t="str">
        <f>IFERROR(IF(INDEX(#REF!,MATCH(#REF!,#REF!, 0))= "", "",INDEX(#REF!,MATCH(#REF!,#REF!, 0)) ), "")</f>
        <v/>
      </c>
      <c r="U109" s="121" t="str">
        <f>IFERROR(IF(INDEX(#REF!,MATCH(#REF!,#REF!, 0))= "", "",INDEX(#REF!,MATCH(#REF!,#REF!, 0)) ), "")</f>
        <v/>
      </c>
      <c r="V109" s="101" t="str">
        <f>IFERROR(IF(INDEX(#REF!,MATCH(#REF!,#REF!, 0))= "", "",INDEX(#REF!,MATCH(#REF!,#REF!, 0)) ), "")</f>
        <v/>
      </c>
      <c r="W109" s="123" t="str">
        <f>IFERROR(IF(INDEX(#REF!,MATCH(#REF!,#REF!, 0))= "", "",INDEX(#REF!,MATCH(#REF!,#REF!, 0)) ), "")</f>
        <v/>
      </c>
      <c r="X109" s="119">
        <v>3</v>
      </c>
      <c r="Y109" s="120"/>
    </row>
    <row r="110" spans="1:25" x14ac:dyDescent="0.25">
      <c r="A110" s="12" t="s">
        <v>342</v>
      </c>
      <c r="B110" s="118" t="s">
        <v>352</v>
      </c>
      <c r="C110" s="118" t="s">
        <v>271</v>
      </c>
      <c r="D110" s="9" t="s">
        <v>131</v>
      </c>
      <c r="E110" s="37">
        <v>155299</v>
      </c>
      <c r="F110" s="98">
        <v>3</v>
      </c>
      <c r="G110" s="128">
        <v>3</v>
      </c>
      <c r="H110" s="8">
        <v>2</v>
      </c>
      <c r="I110" s="8">
        <v>4</v>
      </c>
      <c r="J110" s="8">
        <v>4</v>
      </c>
      <c r="K110" s="99">
        <v>3</v>
      </c>
      <c r="L110" s="10">
        <v>4</v>
      </c>
      <c r="M110" s="13">
        <v>3</v>
      </c>
      <c r="N110" s="101">
        <v>3</v>
      </c>
      <c r="O110" s="99">
        <v>2</v>
      </c>
      <c r="P110" s="99">
        <v>3</v>
      </c>
      <c r="Q110" s="8">
        <v>1</v>
      </c>
      <c r="R110" s="20">
        <v>3</v>
      </c>
      <c r="S110" s="98" t="str">
        <f>IFERROR(IF(INDEX(#REF!,MATCH(#REF!,#REF!, 0))= "", "",INDEX(#REF!,MATCH(#REF!,#REF!, 0)) ), "")</f>
        <v/>
      </c>
      <c r="T110" s="8" t="str">
        <f>IFERROR(IF(INDEX(#REF!,MATCH(#REF!,#REF!, 0))= "", "",INDEX(#REF!,MATCH(#REF!,#REF!, 0)) ), "")</f>
        <v/>
      </c>
      <c r="U110" s="121" t="str">
        <f>IFERROR(IF(INDEX(#REF!,MATCH(#REF!,#REF!, 0))= "", "",INDEX(#REF!,MATCH(#REF!,#REF!, 0)) ), "")</f>
        <v/>
      </c>
      <c r="V110" s="101" t="str">
        <f>IFERROR(IF(INDEX(#REF!,MATCH(#REF!,#REF!, 0))= "", "",INDEX(#REF!,MATCH(#REF!,#REF!, 0)) ), "")</f>
        <v/>
      </c>
      <c r="W110" s="42" t="str">
        <f>IFERROR(IF(INDEX(#REF!,MATCH(#REF!,#REF!, 0))= "", "",INDEX(#REF!,MATCH(#REF!,#REF!, 0)) ), "")</f>
        <v/>
      </c>
      <c r="X110" s="119">
        <v>3</v>
      </c>
      <c r="Y110" s="120"/>
    </row>
    <row r="111" spans="1:25" x14ac:dyDescent="0.25">
      <c r="A111" s="12" t="s">
        <v>342</v>
      </c>
      <c r="B111" s="118" t="s">
        <v>352</v>
      </c>
      <c r="C111" s="118" t="s">
        <v>202</v>
      </c>
      <c r="D111" s="9" t="s">
        <v>62</v>
      </c>
      <c r="E111" s="37">
        <v>47470</v>
      </c>
      <c r="F111" s="98">
        <v>3</v>
      </c>
      <c r="G111" s="128">
        <v>3</v>
      </c>
      <c r="H111" s="8">
        <v>1</v>
      </c>
      <c r="I111" s="8">
        <v>4</v>
      </c>
      <c r="J111" s="8">
        <v>4</v>
      </c>
      <c r="K111" s="99">
        <v>3</v>
      </c>
      <c r="L111" s="10">
        <v>4</v>
      </c>
      <c r="M111" s="13">
        <v>3</v>
      </c>
      <c r="N111" s="101">
        <v>3</v>
      </c>
      <c r="O111" s="99">
        <v>2</v>
      </c>
      <c r="P111" s="99">
        <v>3</v>
      </c>
      <c r="Q111" s="8">
        <v>1</v>
      </c>
      <c r="R111" s="20">
        <v>3</v>
      </c>
      <c r="S111" s="98" t="str">
        <f>IFERROR(IF(INDEX(#REF!,MATCH(#REF!,#REF!, 0))= "", "",INDEX(#REF!,MATCH(#REF!,#REF!, 0)) ), "")</f>
        <v/>
      </c>
      <c r="T111" s="8" t="str">
        <f>IFERROR(IF(INDEX(#REF!,MATCH(#REF!,#REF!, 0))= "", "",INDEX(#REF!,MATCH(#REF!,#REF!, 0)) ), "")</f>
        <v/>
      </c>
      <c r="U111" s="121" t="str">
        <f>IFERROR(IF(INDEX(#REF!,MATCH(#REF!,#REF!, 0))= "", "",INDEX(#REF!,MATCH(#REF!,#REF!, 0)) ), "")</f>
        <v/>
      </c>
      <c r="V111" s="101" t="str">
        <f>IFERROR(IF(INDEX(#REF!,MATCH(#REF!,#REF!, 0))= "", "",INDEX(#REF!,MATCH(#REF!,#REF!, 0)) ), "")</f>
        <v/>
      </c>
      <c r="W111" s="123" t="str">
        <f>IFERROR(IF(INDEX(#REF!,MATCH(#REF!,#REF!, 0))= "", "",INDEX(#REF!,MATCH(#REF!,#REF!, 0)) ), "")</f>
        <v/>
      </c>
      <c r="X111" s="119">
        <v>3</v>
      </c>
      <c r="Y111" s="120"/>
    </row>
    <row r="112" spans="1:25" x14ac:dyDescent="0.25">
      <c r="A112" s="12" t="s">
        <v>342</v>
      </c>
      <c r="B112" s="118" t="s">
        <v>352</v>
      </c>
      <c r="C112" s="118" t="s">
        <v>224</v>
      </c>
      <c r="D112" s="9" t="s">
        <v>84</v>
      </c>
      <c r="E112" s="37">
        <v>10653</v>
      </c>
      <c r="F112" s="98">
        <v>1</v>
      </c>
      <c r="G112" s="128">
        <v>3</v>
      </c>
      <c r="H112" s="8">
        <v>1</v>
      </c>
      <c r="I112" s="8">
        <v>4</v>
      </c>
      <c r="J112" s="8">
        <v>3</v>
      </c>
      <c r="K112" s="99">
        <v>3</v>
      </c>
      <c r="L112" s="10">
        <v>4</v>
      </c>
      <c r="M112" s="13">
        <v>1</v>
      </c>
      <c r="N112" s="101">
        <v>3</v>
      </c>
      <c r="O112" s="99">
        <v>2</v>
      </c>
      <c r="P112" s="99">
        <v>1</v>
      </c>
      <c r="Q112" s="8">
        <v>1</v>
      </c>
      <c r="R112" s="20">
        <v>3</v>
      </c>
      <c r="S112" s="98" t="str">
        <f>IFERROR(IF(INDEX(#REF!,MATCH(#REF!,#REF!, 0))= "", "",INDEX(#REF!,MATCH(#REF!,#REF!, 0)) ), "")</f>
        <v/>
      </c>
      <c r="T112" s="8" t="str">
        <f>IFERROR(IF(INDEX(#REF!,MATCH(#REF!,#REF!, 0))= "", "",INDEX(#REF!,MATCH(#REF!,#REF!, 0)) ), "")</f>
        <v/>
      </c>
      <c r="U112" s="121" t="str">
        <f>IFERROR(IF(INDEX(#REF!,MATCH(#REF!,#REF!, 0))= "", "",INDEX(#REF!,MATCH(#REF!,#REF!, 0)) ), "")</f>
        <v/>
      </c>
      <c r="V112" s="101" t="str">
        <f>IFERROR(IF(INDEX(#REF!,MATCH(#REF!,#REF!, 0))= "", "",INDEX(#REF!,MATCH(#REF!,#REF!, 0)) ), "")</f>
        <v/>
      </c>
      <c r="W112" s="123" t="str">
        <f>IFERROR(IF(INDEX(#REF!,MATCH(#REF!,#REF!, 0))= "", "",INDEX(#REF!,MATCH(#REF!,#REF!, 0)) ), "")</f>
        <v/>
      </c>
      <c r="X112" s="119">
        <v>3</v>
      </c>
      <c r="Y112" s="120"/>
    </row>
    <row r="113" spans="1:25" x14ac:dyDescent="0.25">
      <c r="A113" s="12" t="s">
        <v>342</v>
      </c>
      <c r="B113" s="118" t="s">
        <v>352</v>
      </c>
      <c r="C113" s="118" t="s">
        <v>296</v>
      </c>
      <c r="D113" s="9" t="s">
        <v>156</v>
      </c>
      <c r="E113" s="37">
        <v>36686</v>
      </c>
      <c r="F113" s="98">
        <v>3</v>
      </c>
      <c r="G113" s="128">
        <v>3</v>
      </c>
      <c r="H113" s="8">
        <v>1</v>
      </c>
      <c r="I113" s="8">
        <v>4</v>
      </c>
      <c r="J113" s="8">
        <v>4</v>
      </c>
      <c r="K113" s="99">
        <v>3</v>
      </c>
      <c r="L113" s="10">
        <v>4</v>
      </c>
      <c r="M113" s="13">
        <v>3</v>
      </c>
      <c r="N113" s="101">
        <v>3</v>
      </c>
      <c r="O113" s="99">
        <v>2</v>
      </c>
      <c r="P113" s="99">
        <v>3</v>
      </c>
      <c r="Q113" s="8">
        <v>1</v>
      </c>
      <c r="R113" s="20">
        <v>3</v>
      </c>
      <c r="S113" s="98" t="str">
        <f>IFERROR(IF(INDEX(#REF!,MATCH(#REF!,#REF!, 0))= "", "",INDEX(#REF!,MATCH(#REF!,#REF!, 0)) ), "")</f>
        <v/>
      </c>
      <c r="T113" s="8" t="str">
        <f>IFERROR(IF(INDEX(#REF!,MATCH(#REF!,#REF!, 0))= "", "",INDEX(#REF!,MATCH(#REF!,#REF!, 0)) ), "")</f>
        <v/>
      </c>
      <c r="U113" s="121" t="str">
        <f>IFERROR(IF(INDEX(#REF!,MATCH(#REF!,#REF!, 0))= "", "",INDEX(#REF!,MATCH(#REF!,#REF!, 0)) ), "")</f>
        <v/>
      </c>
      <c r="V113" s="101" t="str">
        <f>IFERROR(IF(INDEX(#REF!,MATCH(#REF!,#REF!, 0))= "", "",INDEX(#REF!,MATCH(#REF!,#REF!, 0)) ), "")</f>
        <v/>
      </c>
      <c r="W113" s="123" t="str">
        <f>IFERROR(IF(INDEX(#REF!,MATCH(#REF!,#REF!, 0))= "", "",INDEX(#REF!,MATCH(#REF!,#REF!, 0)) ), "")</f>
        <v/>
      </c>
      <c r="X113" s="119">
        <v>3</v>
      </c>
      <c r="Y113" s="120"/>
    </row>
    <row r="114" spans="1:25" x14ac:dyDescent="0.25">
      <c r="A114" s="12" t="s">
        <v>342</v>
      </c>
      <c r="B114" s="118" t="s">
        <v>352</v>
      </c>
      <c r="C114" s="118" t="s">
        <v>238</v>
      </c>
      <c r="D114" s="9" t="s">
        <v>98</v>
      </c>
      <c r="E114" s="37">
        <v>35368</v>
      </c>
      <c r="F114" s="98">
        <v>3</v>
      </c>
      <c r="G114" s="128">
        <v>3</v>
      </c>
      <c r="H114" s="8">
        <v>2</v>
      </c>
      <c r="I114" s="8">
        <v>4</v>
      </c>
      <c r="J114" s="8">
        <v>4</v>
      </c>
      <c r="K114" s="99">
        <v>3</v>
      </c>
      <c r="L114" s="10">
        <v>4</v>
      </c>
      <c r="M114" s="13">
        <v>2</v>
      </c>
      <c r="N114" s="101">
        <v>3</v>
      </c>
      <c r="O114" s="99">
        <v>3</v>
      </c>
      <c r="P114" s="99">
        <v>3</v>
      </c>
      <c r="Q114" s="8">
        <v>1</v>
      </c>
      <c r="R114" s="20">
        <v>3</v>
      </c>
      <c r="S114" s="98" t="str">
        <f>IFERROR(IF(INDEX(#REF!,MATCH(#REF!,#REF!, 0))= "", "",INDEX(#REF!,MATCH(#REF!,#REF!, 0)) ), "")</f>
        <v/>
      </c>
      <c r="T114" s="8" t="str">
        <f>IFERROR(IF(INDEX(#REF!,MATCH(#REF!,#REF!, 0))= "", "",INDEX(#REF!,MATCH(#REF!,#REF!, 0)) ), "")</f>
        <v/>
      </c>
      <c r="U114" s="121" t="str">
        <f>IFERROR(IF(INDEX(#REF!,MATCH(#REF!,#REF!, 0))= "", "",INDEX(#REF!,MATCH(#REF!,#REF!, 0)) ), "")</f>
        <v/>
      </c>
      <c r="V114" s="101" t="str">
        <f>IFERROR(IF(INDEX(#REF!,MATCH(#REF!,#REF!, 0))= "", "",INDEX(#REF!,MATCH(#REF!,#REF!, 0)) ), "")</f>
        <v/>
      </c>
      <c r="W114" s="42" t="str">
        <f>IFERROR(IF(INDEX(#REF!,MATCH(#REF!,#REF!, 0))= "", "",INDEX(#REF!,MATCH(#REF!,#REF!, 0)) ), "")</f>
        <v/>
      </c>
      <c r="X114" s="119">
        <v>3</v>
      </c>
      <c r="Y114" s="120"/>
    </row>
    <row r="115" spans="1:25" x14ac:dyDescent="0.25">
      <c r="A115" s="12" t="s">
        <v>342</v>
      </c>
      <c r="B115" s="118" t="s">
        <v>352</v>
      </c>
      <c r="C115" s="118" t="s">
        <v>208</v>
      </c>
      <c r="D115" s="9" t="s">
        <v>68</v>
      </c>
      <c r="E115" s="37">
        <v>49099</v>
      </c>
      <c r="F115" s="98">
        <v>3</v>
      </c>
      <c r="G115" s="128">
        <v>3</v>
      </c>
      <c r="H115" s="8">
        <v>2</v>
      </c>
      <c r="I115" s="8">
        <v>4</v>
      </c>
      <c r="J115" s="8">
        <v>4</v>
      </c>
      <c r="K115" s="99">
        <v>4</v>
      </c>
      <c r="L115" s="10">
        <v>4</v>
      </c>
      <c r="M115" s="13">
        <v>2</v>
      </c>
      <c r="N115" s="101">
        <v>4</v>
      </c>
      <c r="O115" s="99">
        <v>3</v>
      </c>
      <c r="P115" s="99">
        <v>3</v>
      </c>
      <c r="Q115" s="8">
        <v>1</v>
      </c>
      <c r="R115" s="20">
        <v>4</v>
      </c>
      <c r="S115" s="98" t="str">
        <f>IFERROR(IF(INDEX(#REF!,MATCH(#REF!,#REF!, 0))= "", "",INDEX(#REF!,MATCH(#REF!,#REF!, 0)) ), "")</f>
        <v/>
      </c>
      <c r="T115" s="8" t="str">
        <f>IFERROR(IF(INDEX(#REF!,MATCH(#REF!,#REF!, 0))= "", "",INDEX(#REF!,MATCH(#REF!,#REF!, 0)) ), "")</f>
        <v/>
      </c>
      <c r="U115" s="121" t="str">
        <f>IFERROR(IF(INDEX(#REF!,MATCH(#REF!,#REF!, 0))= "", "",INDEX(#REF!,MATCH(#REF!,#REF!, 0)) ), "")</f>
        <v/>
      </c>
      <c r="V115" s="101" t="str">
        <f>IFERROR(IF(INDEX(#REF!,MATCH(#REF!,#REF!, 0))= "", "",INDEX(#REF!,MATCH(#REF!,#REF!, 0)) ), "")</f>
        <v/>
      </c>
      <c r="W115" s="123" t="str">
        <f>IFERROR(IF(INDEX(#REF!,MATCH(#REF!,#REF!, 0))= "", "",INDEX(#REF!,MATCH(#REF!,#REF!, 0)) ), "")</f>
        <v/>
      </c>
      <c r="X115" s="119">
        <v>4</v>
      </c>
      <c r="Y115" s="120"/>
    </row>
    <row r="116" spans="1:25" x14ac:dyDescent="0.25">
      <c r="A116" s="12" t="s">
        <v>342</v>
      </c>
      <c r="B116" s="118" t="s">
        <v>352</v>
      </c>
      <c r="C116" s="118" t="s">
        <v>248</v>
      </c>
      <c r="D116" s="9" t="s">
        <v>108</v>
      </c>
      <c r="E116" s="37">
        <v>41207</v>
      </c>
      <c r="F116" s="98">
        <v>1</v>
      </c>
      <c r="G116" s="128">
        <v>3</v>
      </c>
      <c r="H116" s="8">
        <v>1</v>
      </c>
      <c r="I116" s="8">
        <v>4</v>
      </c>
      <c r="J116" s="8">
        <v>4</v>
      </c>
      <c r="K116" s="99">
        <v>4</v>
      </c>
      <c r="L116" s="10">
        <v>3</v>
      </c>
      <c r="M116" s="13">
        <v>2</v>
      </c>
      <c r="N116" s="101">
        <v>4</v>
      </c>
      <c r="O116" s="99">
        <v>1</v>
      </c>
      <c r="P116" s="99">
        <v>3</v>
      </c>
      <c r="Q116" s="8">
        <v>1</v>
      </c>
      <c r="R116" s="20">
        <v>3</v>
      </c>
      <c r="S116" s="98" t="str">
        <f>IFERROR(IF(INDEX(#REF!,MATCH(#REF!,#REF!, 0))= "", "",INDEX(#REF!,MATCH(#REF!,#REF!, 0)) ), "")</f>
        <v/>
      </c>
      <c r="T116" s="8" t="str">
        <f>IFERROR(IF(INDEX(#REF!,MATCH(#REF!,#REF!, 0))= "", "",INDEX(#REF!,MATCH(#REF!,#REF!, 0)) ), "")</f>
        <v/>
      </c>
      <c r="U116" s="121" t="str">
        <f>IFERROR(IF(INDEX(#REF!,MATCH(#REF!,#REF!, 0))= "", "",INDEX(#REF!,MATCH(#REF!,#REF!, 0)) ), "")</f>
        <v/>
      </c>
      <c r="V116" s="101" t="str">
        <f>IFERROR(IF(INDEX(#REF!,MATCH(#REF!,#REF!, 0))= "", "",INDEX(#REF!,MATCH(#REF!,#REF!, 0)) ), "")</f>
        <v/>
      </c>
      <c r="W116" s="123" t="str">
        <f>IFERROR(IF(INDEX(#REF!,MATCH(#REF!,#REF!, 0))= "", "",INDEX(#REF!,MATCH(#REF!,#REF!, 0)) ), "")</f>
        <v/>
      </c>
      <c r="X116" s="119">
        <v>3</v>
      </c>
      <c r="Y116" s="120"/>
    </row>
    <row r="117" spans="1:25" x14ac:dyDescent="0.25">
      <c r="A117" s="12" t="s">
        <v>342</v>
      </c>
      <c r="B117" s="118" t="s">
        <v>352</v>
      </c>
      <c r="C117" s="118" t="s">
        <v>283</v>
      </c>
      <c r="D117" s="9" t="s">
        <v>143</v>
      </c>
      <c r="E117" s="37">
        <v>24756</v>
      </c>
      <c r="F117" s="98">
        <v>1</v>
      </c>
      <c r="G117" s="128">
        <v>3</v>
      </c>
      <c r="H117" s="8">
        <v>1</v>
      </c>
      <c r="I117" s="8">
        <v>4</v>
      </c>
      <c r="J117" s="8">
        <v>4</v>
      </c>
      <c r="K117" s="99">
        <v>3</v>
      </c>
      <c r="L117" s="10">
        <v>3</v>
      </c>
      <c r="M117" s="13">
        <v>2</v>
      </c>
      <c r="N117" s="101">
        <v>3</v>
      </c>
      <c r="O117" s="99">
        <v>1</v>
      </c>
      <c r="P117" s="99">
        <v>3</v>
      </c>
      <c r="Q117" s="8">
        <v>1</v>
      </c>
      <c r="R117" s="20">
        <v>3</v>
      </c>
      <c r="S117" s="98" t="str">
        <f>IFERROR(IF(INDEX(#REF!,MATCH(#REF!,#REF!, 0))= "", "",INDEX(#REF!,MATCH(#REF!,#REF!, 0)) ), "")</f>
        <v/>
      </c>
      <c r="T117" s="8" t="str">
        <f>IFERROR(IF(INDEX(#REF!,MATCH(#REF!,#REF!, 0))= "", "",INDEX(#REF!,MATCH(#REF!,#REF!, 0)) ), "")</f>
        <v/>
      </c>
      <c r="U117" s="121" t="str">
        <f>IFERROR(IF(INDEX(#REF!,MATCH(#REF!,#REF!, 0))= "", "",INDEX(#REF!,MATCH(#REF!,#REF!, 0)) ), "")</f>
        <v/>
      </c>
      <c r="V117" s="101" t="str">
        <f>IFERROR(IF(INDEX(#REF!,MATCH(#REF!,#REF!, 0))= "", "",INDEX(#REF!,MATCH(#REF!,#REF!, 0)) ), "")</f>
        <v/>
      </c>
      <c r="W117" s="122" t="str">
        <f>IFERROR(IF(INDEX(#REF!,MATCH(#REF!,#REF!, 0))= "", "",INDEX(#REF!,MATCH(#REF!,#REF!, 0)) ), "")</f>
        <v/>
      </c>
      <c r="X117" s="119">
        <v>3</v>
      </c>
      <c r="Y117" s="120"/>
    </row>
    <row r="118" spans="1:25" x14ac:dyDescent="0.25">
      <c r="A118" s="12" t="s">
        <v>342</v>
      </c>
      <c r="B118" s="118" t="s">
        <v>352</v>
      </c>
      <c r="C118" s="118" t="s">
        <v>243</v>
      </c>
      <c r="D118" s="9" t="s">
        <v>103</v>
      </c>
      <c r="E118" s="37">
        <v>28292</v>
      </c>
      <c r="F118" s="98">
        <v>3</v>
      </c>
      <c r="G118" s="128">
        <v>3</v>
      </c>
      <c r="H118" s="8">
        <v>2</v>
      </c>
      <c r="I118" s="8">
        <v>4</v>
      </c>
      <c r="J118" s="8">
        <v>4</v>
      </c>
      <c r="K118" s="99">
        <v>4</v>
      </c>
      <c r="L118" s="10">
        <v>4</v>
      </c>
      <c r="M118" s="13">
        <v>3</v>
      </c>
      <c r="N118" s="101">
        <v>3</v>
      </c>
      <c r="O118" s="99">
        <v>4</v>
      </c>
      <c r="P118" s="99">
        <v>3</v>
      </c>
      <c r="Q118" s="8">
        <v>1</v>
      </c>
      <c r="R118" s="20">
        <v>4</v>
      </c>
      <c r="S118" s="98" t="str">
        <f>IFERROR(IF(INDEX(#REF!,MATCH(#REF!,#REF!, 0))= "", "",INDEX(#REF!,MATCH(#REF!,#REF!, 0)) ), "")</f>
        <v/>
      </c>
      <c r="T118" s="8" t="str">
        <f>IFERROR(IF(INDEX(#REF!,MATCH(#REF!,#REF!, 0))= "", "",INDEX(#REF!,MATCH(#REF!,#REF!, 0)) ), "")</f>
        <v/>
      </c>
      <c r="U118" s="121" t="str">
        <f>IFERROR(IF(INDEX(#REF!,MATCH(#REF!,#REF!, 0))= "", "",INDEX(#REF!,MATCH(#REF!,#REF!, 0)) ), "")</f>
        <v/>
      </c>
      <c r="V118" s="101" t="str">
        <f>IFERROR(IF(INDEX(#REF!,MATCH(#REF!,#REF!, 0))= "", "",INDEX(#REF!,MATCH(#REF!,#REF!, 0)) ), "")</f>
        <v/>
      </c>
      <c r="W118" s="123" t="str">
        <f>IFERROR(IF(INDEX(#REF!,MATCH(#REF!,#REF!, 0))= "", "",INDEX(#REF!,MATCH(#REF!,#REF!, 0)) ), "")</f>
        <v/>
      </c>
      <c r="X118" s="119">
        <v>4</v>
      </c>
      <c r="Y118" s="120"/>
    </row>
    <row r="119" spans="1:25" ht="26.1" customHeight="1" x14ac:dyDescent="0.25">
      <c r="A119" s="12" t="s">
        <v>342</v>
      </c>
      <c r="B119" s="118" t="s">
        <v>352</v>
      </c>
      <c r="C119" s="118" t="s">
        <v>320</v>
      </c>
      <c r="D119" s="9" t="s">
        <v>180</v>
      </c>
      <c r="E119" s="37">
        <v>41589</v>
      </c>
      <c r="F119" s="98">
        <v>3</v>
      </c>
      <c r="G119" s="128">
        <v>3</v>
      </c>
      <c r="H119" s="8">
        <v>1</v>
      </c>
      <c r="I119" s="8">
        <v>4</v>
      </c>
      <c r="J119" s="8">
        <v>4</v>
      </c>
      <c r="K119" s="99">
        <v>3</v>
      </c>
      <c r="L119" s="10">
        <v>4</v>
      </c>
      <c r="M119" s="13">
        <v>2</v>
      </c>
      <c r="N119" s="101">
        <v>3</v>
      </c>
      <c r="O119" s="99">
        <v>2</v>
      </c>
      <c r="P119" s="99">
        <v>3</v>
      </c>
      <c r="Q119" s="8">
        <v>1</v>
      </c>
      <c r="R119" s="20">
        <v>3</v>
      </c>
      <c r="S119" s="98" t="str">
        <f>IFERROR(IF(INDEX(#REF!,MATCH(#REF!,#REF!, 0))= "", "",INDEX(#REF!,MATCH(#REF!,#REF!, 0)) ), "")</f>
        <v/>
      </c>
      <c r="T119" s="8" t="str">
        <f>IFERROR(IF(INDEX(#REF!,MATCH(#REF!,#REF!, 0))= "", "",INDEX(#REF!,MATCH(#REF!,#REF!, 0)) ), "")</f>
        <v/>
      </c>
      <c r="U119" s="121" t="str">
        <f>IFERROR(IF(INDEX(#REF!,MATCH(#REF!,#REF!, 0))= "", "",INDEX(#REF!,MATCH(#REF!,#REF!, 0)) ), "")</f>
        <v/>
      </c>
      <c r="V119" s="101" t="str">
        <f>IFERROR(IF(INDEX(#REF!,MATCH(#REF!,#REF!, 0))= "", "",INDEX(#REF!,MATCH(#REF!,#REF!, 0)) ), "")</f>
        <v/>
      </c>
      <c r="W119" s="123" t="str">
        <f>IFERROR(IF(INDEX(#REF!,MATCH(#REF!,#REF!, 0))= "", "",INDEX(#REF!,MATCH(#REF!,#REF!, 0)) ), "")</f>
        <v/>
      </c>
      <c r="X119" s="119">
        <v>3</v>
      </c>
      <c r="Y119" s="120"/>
    </row>
    <row r="120" spans="1:25" ht="26.1" customHeight="1" x14ac:dyDescent="0.25">
      <c r="A120" s="12" t="s">
        <v>342</v>
      </c>
      <c r="B120" s="118" t="s">
        <v>352</v>
      </c>
      <c r="C120" s="118" t="s">
        <v>220</v>
      </c>
      <c r="D120" s="9" t="s">
        <v>80</v>
      </c>
      <c r="E120" s="37">
        <v>35380</v>
      </c>
      <c r="F120" s="98">
        <v>3</v>
      </c>
      <c r="G120" s="128">
        <v>3</v>
      </c>
      <c r="H120" s="8">
        <v>1</v>
      </c>
      <c r="I120" s="8">
        <v>4</v>
      </c>
      <c r="J120" s="8">
        <v>4</v>
      </c>
      <c r="K120" s="99">
        <v>3</v>
      </c>
      <c r="L120" s="10">
        <v>4</v>
      </c>
      <c r="M120" s="13">
        <v>2</v>
      </c>
      <c r="N120" s="101">
        <v>3</v>
      </c>
      <c r="O120" s="99">
        <v>1</v>
      </c>
      <c r="P120" s="99">
        <v>3</v>
      </c>
      <c r="Q120" s="8">
        <v>1</v>
      </c>
      <c r="R120" s="20">
        <v>3</v>
      </c>
      <c r="S120" s="98" t="str">
        <f>IFERROR(IF(INDEX(#REF!,MATCH(#REF!,#REF!, 0))= "", "",INDEX(#REF!,MATCH(#REF!,#REF!, 0)) ), "")</f>
        <v/>
      </c>
      <c r="T120" s="8" t="str">
        <f>IFERROR(IF(INDEX(#REF!,MATCH(#REF!,#REF!, 0))= "", "",INDEX(#REF!,MATCH(#REF!,#REF!, 0)) ), "")</f>
        <v/>
      </c>
      <c r="U120" s="121" t="str">
        <f>IFERROR(IF(INDEX(#REF!,MATCH(#REF!,#REF!, 0))= "", "",INDEX(#REF!,MATCH(#REF!,#REF!, 0)) ), "")</f>
        <v/>
      </c>
      <c r="V120" s="101" t="str">
        <f>IFERROR(IF(INDEX(#REF!,MATCH(#REF!,#REF!, 0))= "", "",INDEX(#REF!,MATCH(#REF!,#REF!, 0)) ), "")</f>
        <v/>
      </c>
      <c r="W120" s="123" t="str">
        <f>IFERROR(IF(INDEX(#REF!,MATCH(#REF!,#REF!, 0))= "", "",INDEX(#REF!,MATCH(#REF!,#REF!, 0)) ), "")</f>
        <v/>
      </c>
      <c r="X120" s="119">
        <v>3</v>
      </c>
      <c r="Y120" s="120"/>
    </row>
    <row r="121" spans="1:25" ht="26.1" customHeight="1" x14ac:dyDescent="0.25">
      <c r="A121" s="12" t="s">
        <v>342</v>
      </c>
      <c r="B121" s="118" t="s">
        <v>352</v>
      </c>
      <c r="C121" s="118" t="s">
        <v>300</v>
      </c>
      <c r="D121" s="9" t="s">
        <v>160</v>
      </c>
      <c r="E121" s="37">
        <v>48575</v>
      </c>
      <c r="F121" s="98">
        <v>2</v>
      </c>
      <c r="G121" s="128">
        <v>3</v>
      </c>
      <c r="H121" s="8">
        <v>1</v>
      </c>
      <c r="I121" s="8">
        <v>4</v>
      </c>
      <c r="J121" s="8">
        <v>4</v>
      </c>
      <c r="K121" s="99">
        <v>3</v>
      </c>
      <c r="L121" s="10">
        <v>3</v>
      </c>
      <c r="M121" s="13">
        <v>2</v>
      </c>
      <c r="N121" s="101">
        <v>3</v>
      </c>
      <c r="O121" s="99">
        <v>1</v>
      </c>
      <c r="P121" s="99">
        <v>3</v>
      </c>
      <c r="Q121" s="8">
        <v>1</v>
      </c>
      <c r="R121" s="20">
        <v>3</v>
      </c>
      <c r="S121" s="98" t="str">
        <f>IFERROR(IF(INDEX(#REF!,MATCH(#REF!,#REF!, 0))= "", "",INDEX(#REF!,MATCH(#REF!,#REF!, 0)) ), "")</f>
        <v/>
      </c>
      <c r="T121" s="8" t="str">
        <f>IFERROR(IF(INDEX(#REF!,MATCH(#REF!,#REF!, 0))= "", "",INDEX(#REF!,MATCH(#REF!,#REF!, 0)) ), "")</f>
        <v/>
      </c>
      <c r="U121" s="121" t="str">
        <f>IFERROR(IF(INDEX(#REF!,MATCH(#REF!,#REF!, 0))= "", "",INDEX(#REF!,MATCH(#REF!,#REF!, 0)) ), "")</f>
        <v/>
      </c>
      <c r="V121" s="101" t="str">
        <f>IFERROR(IF(INDEX(#REF!,MATCH(#REF!,#REF!, 0))= "", "",INDEX(#REF!,MATCH(#REF!,#REF!, 0)) ), "")</f>
        <v/>
      </c>
      <c r="W121" s="123" t="str">
        <f>IFERROR(IF(INDEX(#REF!,MATCH(#REF!,#REF!, 0))= "", "",INDEX(#REF!,MATCH(#REF!,#REF!, 0)) ), "")</f>
        <v/>
      </c>
      <c r="X121" s="119">
        <v>3</v>
      </c>
      <c r="Y121" s="120"/>
    </row>
    <row r="122" spans="1:25" ht="26.1" customHeight="1" x14ac:dyDescent="0.25">
      <c r="A122" s="12" t="s">
        <v>344</v>
      </c>
      <c r="B122" s="118" t="s">
        <v>354</v>
      </c>
      <c r="C122" s="118" t="s">
        <v>314</v>
      </c>
      <c r="D122" s="9" t="s">
        <v>174</v>
      </c>
      <c r="E122" s="37">
        <v>210942</v>
      </c>
      <c r="F122" s="98">
        <v>1</v>
      </c>
      <c r="G122" s="128">
        <v>3</v>
      </c>
      <c r="H122" s="8">
        <v>3</v>
      </c>
      <c r="I122" s="8">
        <v>4</v>
      </c>
      <c r="J122" s="8">
        <v>4</v>
      </c>
      <c r="K122" s="99">
        <v>4</v>
      </c>
      <c r="L122" s="10">
        <v>3</v>
      </c>
      <c r="M122" s="13">
        <v>2</v>
      </c>
      <c r="N122" s="101">
        <v>3</v>
      </c>
      <c r="O122" s="99">
        <v>2</v>
      </c>
      <c r="P122" s="99">
        <v>4</v>
      </c>
      <c r="Q122" s="8">
        <v>2</v>
      </c>
      <c r="R122" s="20">
        <v>3</v>
      </c>
      <c r="S122" s="98" t="str">
        <f>IFERROR(IF(INDEX(#REF!,MATCH(#REF!,#REF!, 0))= "", "",INDEX(#REF!,MATCH(#REF!,#REF!, 0)) ), "")</f>
        <v/>
      </c>
      <c r="T122" s="8" t="str">
        <f>IFERROR(IF(INDEX(#REF!,MATCH(#REF!,#REF!, 0))= "", "",INDEX(#REF!,MATCH(#REF!,#REF!, 0)) ), "")</f>
        <v/>
      </c>
      <c r="U122" s="121" t="str">
        <f>IFERROR(IF(INDEX(#REF!,MATCH(#REF!,#REF!, 0))= "", "",INDEX(#REF!,MATCH(#REF!,#REF!, 0)) ), "")</f>
        <v/>
      </c>
      <c r="V122" s="101" t="str">
        <f>IFERROR(IF(INDEX(#REF!,MATCH(#REF!,#REF!, 0))= "", "",INDEX(#REF!,MATCH(#REF!,#REF!, 0)) ), "")</f>
        <v/>
      </c>
      <c r="W122" s="122" t="str">
        <f>IFERROR(IF(INDEX(#REF!,MATCH(#REF!,#REF!, 0))= "", "",INDEX(#REF!,MATCH(#REF!,#REF!, 0)) ), "")</f>
        <v/>
      </c>
      <c r="X122" s="119">
        <v>3</v>
      </c>
      <c r="Y122" s="120"/>
    </row>
    <row r="123" spans="1:25" ht="26.1" customHeight="1" x14ac:dyDescent="0.25">
      <c r="A123" s="12" t="s">
        <v>344</v>
      </c>
      <c r="B123" s="118" t="s">
        <v>354</v>
      </c>
      <c r="C123" s="118" t="s">
        <v>276</v>
      </c>
      <c r="D123" s="9" t="s">
        <v>136</v>
      </c>
      <c r="E123" s="37">
        <v>40156</v>
      </c>
      <c r="F123" s="98">
        <v>1</v>
      </c>
      <c r="G123" s="128">
        <v>3</v>
      </c>
      <c r="H123" s="8">
        <v>3</v>
      </c>
      <c r="I123" s="8">
        <v>4</v>
      </c>
      <c r="J123" s="8">
        <v>4</v>
      </c>
      <c r="K123" s="99">
        <v>3</v>
      </c>
      <c r="L123" s="10">
        <v>1</v>
      </c>
      <c r="M123" s="13">
        <v>1</v>
      </c>
      <c r="N123" s="101">
        <v>3</v>
      </c>
      <c r="O123" s="99">
        <v>1</v>
      </c>
      <c r="P123" s="99">
        <v>3</v>
      </c>
      <c r="Q123" s="8">
        <v>3</v>
      </c>
      <c r="R123" s="20">
        <v>3</v>
      </c>
      <c r="S123" s="98" t="str">
        <f>IFERROR(IF(INDEX(#REF!,MATCH(#REF!,#REF!, 0))= "", "",INDEX(#REF!,MATCH(#REF!,#REF!, 0)) ), "")</f>
        <v/>
      </c>
      <c r="T123" s="8" t="str">
        <f>IFERROR(IF(INDEX(#REF!,MATCH(#REF!,#REF!, 0))= "", "",INDEX(#REF!,MATCH(#REF!,#REF!, 0)) ), "")</f>
        <v/>
      </c>
      <c r="U123" s="121" t="str">
        <f>IFERROR(IF(INDEX(#REF!,MATCH(#REF!,#REF!, 0))= "", "",INDEX(#REF!,MATCH(#REF!,#REF!, 0)) ), "")</f>
        <v/>
      </c>
      <c r="V123" s="101" t="str">
        <f>IFERROR(IF(INDEX(#REF!,MATCH(#REF!,#REF!, 0))= "", "",INDEX(#REF!,MATCH(#REF!,#REF!, 0)) ), "")</f>
        <v/>
      </c>
      <c r="W123" s="123" t="str">
        <f>IFERROR(IF(INDEX(#REF!,MATCH(#REF!,#REF!, 0))= "", "",INDEX(#REF!,MATCH(#REF!,#REF!, 0)) ), "")</f>
        <v/>
      </c>
      <c r="X123" s="119">
        <v>3</v>
      </c>
      <c r="Y123" s="120"/>
    </row>
    <row r="124" spans="1:25" ht="26.1" customHeight="1" x14ac:dyDescent="0.25">
      <c r="A124" s="12" t="s">
        <v>344</v>
      </c>
      <c r="B124" s="118" t="s">
        <v>354</v>
      </c>
      <c r="C124" s="118" t="s">
        <v>219</v>
      </c>
      <c r="D124" s="9" t="s">
        <v>79</v>
      </c>
      <c r="E124" s="37">
        <v>65669</v>
      </c>
      <c r="F124" s="98">
        <v>1</v>
      </c>
      <c r="G124" s="128">
        <v>3</v>
      </c>
      <c r="H124" s="8">
        <v>3</v>
      </c>
      <c r="I124" s="8">
        <v>4</v>
      </c>
      <c r="J124" s="8">
        <v>4</v>
      </c>
      <c r="K124" s="99">
        <v>5</v>
      </c>
      <c r="L124" s="10">
        <v>3</v>
      </c>
      <c r="M124" s="13">
        <v>1</v>
      </c>
      <c r="N124" s="101">
        <v>5</v>
      </c>
      <c r="O124" s="99">
        <v>4</v>
      </c>
      <c r="P124" s="99">
        <v>4</v>
      </c>
      <c r="Q124" s="8">
        <v>1</v>
      </c>
      <c r="R124" s="20">
        <v>3</v>
      </c>
      <c r="S124" s="98" t="str">
        <f>IFERROR(IF(INDEX(#REF!,MATCH(#REF!,#REF!, 0))= "", "",INDEX(#REF!,MATCH(#REF!,#REF!, 0)) ), "")</f>
        <v/>
      </c>
      <c r="T124" s="8" t="str">
        <f>IFERROR(IF(INDEX(#REF!,MATCH(#REF!,#REF!, 0))= "", "",INDEX(#REF!,MATCH(#REF!,#REF!, 0)) ), "")</f>
        <v/>
      </c>
      <c r="U124" s="121" t="str">
        <f>IFERROR(IF(INDEX(#REF!,MATCH(#REF!,#REF!, 0))= "", "",INDEX(#REF!,MATCH(#REF!,#REF!, 0)) ), "")</f>
        <v/>
      </c>
      <c r="V124" s="101" t="str">
        <f>IFERROR(IF(INDEX(#REF!,MATCH(#REF!,#REF!, 0))= "", "",INDEX(#REF!,MATCH(#REF!,#REF!, 0)) ), "")</f>
        <v/>
      </c>
      <c r="W124" s="42" t="str">
        <f>IFERROR(IF(INDEX(#REF!,MATCH(#REF!,#REF!, 0))= "", "",INDEX(#REF!,MATCH(#REF!,#REF!, 0)) ), "")</f>
        <v/>
      </c>
      <c r="X124" s="119">
        <v>3</v>
      </c>
      <c r="Y124" s="120"/>
    </row>
    <row r="125" spans="1:25" ht="26.1" customHeight="1" x14ac:dyDescent="0.25">
      <c r="A125" s="12" t="s">
        <v>344</v>
      </c>
      <c r="B125" s="118" t="s">
        <v>354</v>
      </c>
      <c r="C125" s="118" t="s">
        <v>239</v>
      </c>
      <c r="D125" s="9" t="s">
        <v>99</v>
      </c>
      <c r="E125" s="37">
        <v>31537</v>
      </c>
      <c r="F125" s="98">
        <v>1</v>
      </c>
      <c r="G125" s="128">
        <v>3</v>
      </c>
      <c r="H125" s="8">
        <v>3</v>
      </c>
      <c r="I125" s="8">
        <v>4</v>
      </c>
      <c r="J125" s="8">
        <v>4</v>
      </c>
      <c r="K125" s="99">
        <v>3</v>
      </c>
      <c r="L125" s="10">
        <v>1</v>
      </c>
      <c r="M125" s="13">
        <v>2</v>
      </c>
      <c r="N125" s="101">
        <v>3</v>
      </c>
      <c r="O125" s="99">
        <v>1</v>
      </c>
      <c r="P125" s="99">
        <v>3</v>
      </c>
      <c r="Q125" s="8">
        <v>1</v>
      </c>
      <c r="R125" s="20">
        <v>3</v>
      </c>
      <c r="S125" s="98" t="str">
        <f>IFERROR(IF(INDEX(#REF!,MATCH(#REF!,#REF!, 0))= "", "",INDEX(#REF!,MATCH(#REF!,#REF!, 0)) ), "")</f>
        <v/>
      </c>
      <c r="T125" s="8" t="str">
        <f>IFERROR(IF(INDEX(#REF!,MATCH(#REF!,#REF!, 0))= "", "",INDEX(#REF!,MATCH(#REF!,#REF!, 0)) ), "")</f>
        <v/>
      </c>
      <c r="U125" s="121" t="str">
        <f>IFERROR(IF(INDEX(#REF!,MATCH(#REF!,#REF!, 0))= "", "",INDEX(#REF!,MATCH(#REF!,#REF!, 0)) ), "")</f>
        <v/>
      </c>
      <c r="V125" s="101" t="str">
        <f>IFERROR(IF(INDEX(#REF!,MATCH(#REF!,#REF!, 0))= "", "",INDEX(#REF!,MATCH(#REF!,#REF!, 0)) ), "")</f>
        <v/>
      </c>
      <c r="W125" s="123" t="str">
        <f>IFERROR(IF(INDEX(#REF!,MATCH(#REF!,#REF!, 0))= "", "",INDEX(#REF!,MATCH(#REF!,#REF!, 0)) ), "")</f>
        <v/>
      </c>
      <c r="X125" s="119">
        <v>3</v>
      </c>
      <c r="Y125" s="120"/>
    </row>
    <row r="126" spans="1:25" ht="26.1" customHeight="1" x14ac:dyDescent="0.25">
      <c r="A126" s="12" t="s">
        <v>344</v>
      </c>
      <c r="B126" s="118" t="s">
        <v>354</v>
      </c>
      <c r="C126" s="118" t="s">
        <v>321</v>
      </c>
      <c r="D126" s="9" t="s">
        <v>181</v>
      </c>
      <c r="E126" s="37">
        <v>120555</v>
      </c>
      <c r="F126" s="98">
        <v>2</v>
      </c>
      <c r="G126" s="128">
        <v>3</v>
      </c>
      <c r="H126" s="8">
        <v>3</v>
      </c>
      <c r="I126" s="8">
        <v>4</v>
      </c>
      <c r="J126" s="8">
        <v>4</v>
      </c>
      <c r="K126" s="99">
        <v>4</v>
      </c>
      <c r="L126" s="10">
        <v>3</v>
      </c>
      <c r="M126" s="13">
        <v>2</v>
      </c>
      <c r="N126" s="101">
        <v>3</v>
      </c>
      <c r="O126" s="99">
        <v>4</v>
      </c>
      <c r="P126" s="99">
        <v>4</v>
      </c>
      <c r="Q126" s="8">
        <v>1</v>
      </c>
      <c r="R126" s="20">
        <v>3</v>
      </c>
      <c r="S126" s="98" t="str">
        <f>IFERROR(IF(INDEX(#REF!,MATCH(#REF!,#REF!, 0))= "", "",INDEX(#REF!,MATCH(#REF!,#REF!, 0)) ), "")</f>
        <v/>
      </c>
      <c r="T126" s="8" t="str">
        <f>IFERROR(IF(INDEX(#REF!,MATCH(#REF!,#REF!, 0))= "", "",INDEX(#REF!,MATCH(#REF!,#REF!, 0)) ), "")</f>
        <v/>
      </c>
      <c r="U126" s="121" t="str">
        <f>IFERROR(IF(INDEX(#REF!,MATCH(#REF!,#REF!, 0))= "", "",INDEX(#REF!,MATCH(#REF!,#REF!, 0)) ), "")</f>
        <v/>
      </c>
      <c r="V126" s="101" t="str">
        <f>IFERROR(IF(INDEX(#REF!,MATCH(#REF!,#REF!, 0))= "", "",INDEX(#REF!,MATCH(#REF!,#REF!, 0)) ), "")</f>
        <v/>
      </c>
      <c r="W126" s="123" t="str">
        <f>IFERROR(IF(INDEX(#REF!,MATCH(#REF!,#REF!, 0))= "", "",INDEX(#REF!,MATCH(#REF!,#REF!, 0)) ), "")</f>
        <v/>
      </c>
      <c r="X126" s="119">
        <v>3</v>
      </c>
      <c r="Y126" s="120"/>
    </row>
    <row r="127" spans="1:25" ht="26.1" customHeight="1" x14ac:dyDescent="0.25">
      <c r="A127" s="12" t="s">
        <v>344</v>
      </c>
      <c r="B127" s="118" t="s">
        <v>354</v>
      </c>
      <c r="C127" s="118" t="s">
        <v>204</v>
      </c>
      <c r="D127" s="9" t="s">
        <v>64</v>
      </c>
      <c r="E127" s="37">
        <v>31659</v>
      </c>
      <c r="F127" s="98">
        <v>1</v>
      </c>
      <c r="G127" s="128">
        <v>3</v>
      </c>
      <c r="H127" s="8">
        <v>3</v>
      </c>
      <c r="I127" s="8">
        <v>4</v>
      </c>
      <c r="J127" s="8">
        <v>4</v>
      </c>
      <c r="K127" s="99">
        <v>4</v>
      </c>
      <c r="L127" s="10">
        <v>3</v>
      </c>
      <c r="M127" s="13">
        <v>1</v>
      </c>
      <c r="N127" s="101">
        <v>3</v>
      </c>
      <c r="O127" s="99">
        <v>1</v>
      </c>
      <c r="P127" s="99">
        <v>4</v>
      </c>
      <c r="Q127" s="8">
        <v>2</v>
      </c>
      <c r="R127" s="20">
        <v>3</v>
      </c>
      <c r="S127" s="98" t="str">
        <f>IFERROR(IF(INDEX(#REF!,MATCH(#REF!,#REF!, 0))= "", "",INDEX(#REF!,MATCH(#REF!,#REF!, 0)) ), "")</f>
        <v/>
      </c>
      <c r="T127" s="8" t="str">
        <f>IFERROR(IF(INDEX(#REF!,MATCH(#REF!,#REF!, 0))= "", "",INDEX(#REF!,MATCH(#REF!,#REF!, 0)) ), "")</f>
        <v/>
      </c>
      <c r="U127" s="121" t="str">
        <f>IFERROR(IF(INDEX(#REF!,MATCH(#REF!,#REF!, 0))= "", "",INDEX(#REF!,MATCH(#REF!,#REF!, 0)) ), "")</f>
        <v/>
      </c>
      <c r="V127" s="101" t="str">
        <f>IFERROR(IF(INDEX(#REF!,MATCH(#REF!,#REF!, 0))= "", "",INDEX(#REF!,MATCH(#REF!,#REF!, 0)) ), "")</f>
        <v/>
      </c>
      <c r="W127" s="123" t="str">
        <f>IFERROR(IF(INDEX(#REF!,MATCH(#REF!,#REF!, 0))= "", "",INDEX(#REF!,MATCH(#REF!,#REF!, 0)) ), "")</f>
        <v/>
      </c>
      <c r="X127" s="119">
        <v>3</v>
      </c>
      <c r="Y127" s="120"/>
    </row>
    <row r="128" spans="1:25" ht="26.1" customHeight="1" x14ac:dyDescent="0.25">
      <c r="A128" s="12" t="s">
        <v>344</v>
      </c>
      <c r="B128" s="118" t="s">
        <v>354</v>
      </c>
      <c r="C128" s="118" t="s">
        <v>293</v>
      </c>
      <c r="D128" s="9" t="s">
        <v>153</v>
      </c>
      <c r="E128" s="37">
        <v>36005</v>
      </c>
      <c r="F128" s="98">
        <v>1</v>
      </c>
      <c r="G128" s="128">
        <v>3</v>
      </c>
      <c r="H128" s="8">
        <v>3</v>
      </c>
      <c r="I128" s="8">
        <v>4</v>
      </c>
      <c r="J128" s="8">
        <v>3</v>
      </c>
      <c r="K128" s="99">
        <v>3</v>
      </c>
      <c r="L128" s="10">
        <v>3</v>
      </c>
      <c r="M128" s="13">
        <v>1</v>
      </c>
      <c r="N128" s="101">
        <v>3</v>
      </c>
      <c r="O128" s="99">
        <v>1</v>
      </c>
      <c r="P128" s="99">
        <v>3</v>
      </c>
      <c r="Q128" s="8">
        <v>2</v>
      </c>
      <c r="R128" s="20">
        <v>3</v>
      </c>
      <c r="S128" s="98" t="str">
        <f>IFERROR(IF(INDEX(#REF!,MATCH(#REF!,#REF!, 0))= "", "",INDEX(#REF!,MATCH(#REF!,#REF!, 0)) ), "")</f>
        <v/>
      </c>
      <c r="T128" s="8" t="str">
        <f>IFERROR(IF(INDEX(#REF!,MATCH(#REF!,#REF!, 0))= "", "",INDEX(#REF!,MATCH(#REF!,#REF!, 0)) ), "")</f>
        <v/>
      </c>
      <c r="U128" s="121" t="str">
        <f>IFERROR(IF(INDEX(#REF!,MATCH(#REF!,#REF!, 0))= "", "",INDEX(#REF!,MATCH(#REF!,#REF!, 0)) ), "")</f>
        <v/>
      </c>
      <c r="V128" s="101" t="str">
        <f>IFERROR(IF(INDEX(#REF!,MATCH(#REF!,#REF!, 0))= "", "",INDEX(#REF!,MATCH(#REF!,#REF!, 0)) ), "")</f>
        <v/>
      </c>
      <c r="W128" s="123" t="str">
        <f>IFERROR(IF(INDEX(#REF!,MATCH(#REF!,#REF!, 0))= "", "",INDEX(#REF!,MATCH(#REF!,#REF!, 0)) ), "")</f>
        <v/>
      </c>
      <c r="X128" s="119">
        <v>3</v>
      </c>
      <c r="Y128" s="120"/>
    </row>
    <row r="129" spans="1:25" ht="26.1" customHeight="1" x14ac:dyDescent="0.25">
      <c r="A129" s="12" t="s">
        <v>344</v>
      </c>
      <c r="B129" s="118" t="s">
        <v>354</v>
      </c>
      <c r="C129" s="118" t="s">
        <v>215</v>
      </c>
      <c r="D129" s="9" t="s">
        <v>75</v>
      </c>
      <c r="E129" s="37">
        <v>28588</v>
      </c>
      <c r="F129" s="98">
        <v>1</v>
      </c>
      <c r="G129" s="128">
        <v>3</v>
      </c>
      <c r="H129" s="8">
        <v>3</v>
      </c>
      <c r="I129" s="8">
        <v>4</v>
      </c>
      <c r="J129" s="8">
        <v>4</v>
      </c>
      <c r="K129" s="99">
        <v>3</v>
      </c>
      <c r="L129" s="10">
        <v>1</v>
      </c>
      <c r="M129" s="13">
        <v>1</v>
      </c>
      <c r="N129" s="101">
        <v>3</v>
      </c>
      <c r="O129" s="99">
        <v>1</v>
      </c>
      <c r="P129" s="99">
        <v>3</v>
      </c>
      <c r="Q129" s="8">
        <v>1</v>
      </c>
      <c r="R129" s="20">
        <v>3</v>
      </c>
      <c r="S129" s="98" t="str">
        <f>IFERROR(IF(INDEX(#REF!,MATCH(#REF!,#REF!, 0))= "", "",INDEX(#REF!,MATCH(#REF!,#REF!, 0)) ), "")</f>
        <v/>
      </c>
      <c r="T129" s="8" t="str">
        <f>IFERROR(IF(INDEX(#REF!,MATCH(#REF!,#REF!, 0))= "", "",INDEX(#REF!,MATCH(#REF!,#REF!, 0)) ), "")</f>
        <v/>
      </c>
      <c r="U129" s="121" t="str">
        <f>IFERROR(IF(INDEX(#REF!,MATCH(#REF!,#REF!, 0))= "", "",INDEX(#REF!,MATCH(#REF!,#REF!, 0)) ), "")</f>
        <v/>
      </c>
      <c r="V129" s="101" t="str">
        <f>IFERROR(IF(INDEX(#REF!,MATCH(#REF!,#REF!, 0))= "", "",INDEX(#REF!,MATCH(#REF!,#REF!, 0)) ), "")</f>
        <v/>
      </c>
      <c r="W129" s="123" t="str">
        <f>IFERROR(IF(INDEX(#REF!,MATCH(#REF!,#REF!, 0))= "", "",INDEX(#REF!,MATCH(#REF!,#REF!, 0)) ), "")</f>
        <v/>
      </c>
      <c r="X129" s="119">
        <v>3</v>
      </c>
      <c r="Y129" s="120"/>
    </row>
    <row r="130" spans="1:25" ht="26.1" customHeight="1" x14ac:dyDescent="0.25">
      <c r="A130" s="12" t="s">
        <v>344</v>
      </c>
      <c r="B130" s="118" t="s">
        <v>354</v>
      </c>
      <c r="C130" s="118" t="s">
        <v>223</v>
      </c>
      <c r="D130" s="9" t="s">
        <v>83</v>
      </c>
      <c r="E130" s="37">
        <v>37868</v>
      </c>
      <c r="F130" s="98">
        <v>1</v>
      </c>
      <c r="G130" s="128">
        <v>3</v>
      </c>
      <c r="H130" s="8">
        <v>3</v>
      </c>
      <c r="I130" s="8">
        <v>4</v>
      </c>
      <c r="J130" s="8">
        <v>4</v>
      </c>
      <c r="K130" s="99">
        <v>3</v>
      </c>
      <c r="L130" s="10">
        <v>3</v>
      </c>
      <c r="M130" s="13">
        <v>1</v>
      </c>
      <c r="N130" s="101">
        <v>3</v>
      </c>
      <c r="O130" s="99">
        <v>1</v>
      </c>
      <c r="P130" s="99">
        <v>3</v>
      </c>
      <c r="Q130" s="8">
        <v>1</v>
      </c>
      <c r="R130" s="20">
        <v>3</v>
      </c>
      <c r="S130" s="98" t="str">
        <f>IFERROR(IF(INDEX(#REF!,MATCH(#REF!,#REF!, 0))= "", "",INDEX(#REF!,MATCH(#REF!,#REF!, 0)) ), "")</f>
        <v/>
      </c>
      <c r="T130" s="8" t="str">
        <f>IFERROR(IF(INDEX(#REF!,MATCH(#REF!,#REF!, 0))= "", "",INDEX(#REF!,MATCH(#REF!,#REF!, 0)) ), "")</f>
        <v/>
      </c>
      <c r="U130" s="121" t="str">
        <f>IFERROR(IF(INDEX(#REF!,MATCH(#REF!,#REF!, 0))= "", "",INDEX(#REF!,MATCH(#REF!,#REF!, 0)) ), "")</f>
        <v/>
      </c>
      <c r="V130" s="101" t="str">
        <f>IFERROR(IF(INDEX(#REF!,MATCH(#REF!,#REF!, 0))= "", "",INDEX(#REF!,MATCH(#REF!,#REF!, 0)) ), "")</f>
        <v/>
      </c>
      <c r="W130" s="123" t="str">
        <f>IFERROR(IF(INDEX(#REF!,MATCH(#REF!,#REF!, 0))= "", "",INDEX(#REF!,MATCH(#REF!,#REF!, 0)) ), "")</f>
        <v/>
      </c>
      <c r="X130" s="119">
        <v>3</v>
      </c>
      <c r="Y130" s="120"/>
    </row>
    <row r="131" spans="1:25" ht="26.1" customHeight="1" x14ac:dyDescent="0.25">
      <c r="A131" s="12" t="s">
        <v>344</v>
      </c>
      <c r="B131" s="118" t="s">
        <v>354</v>
      </c>
      <c r="C131" s="118" t="s">
        <v>270</v>
      </c>
      <c r="D131" s="9" t="s">
        <v>130</v>
      </c>
      <c r="E131" s="37">
        <v>156750</v>
      </c>
      <c r="F131" s="98">
        <v>2</v>
      </c>
      <c r="G131" s="128">
        <v>3</v>
      </c>
      <c r="H131" s="8">
        <v>3</v>
      </c>
      <c r="I131" s="8">
        <v>4</v>
      </c>
      <c r="J131" s="8">
        <v>4</v>
      </c>
      <c r="K131" s="99">
        <v>3</v>
      </c>
      <c r="L131" s="10">
        <v>3</v>
      </c>
      <c r="M131" s="13">
        <v>2</v>
      </c>
      <c r="N131" s="101">
        <v>3</v>
      </c>
      <c r="O131" s="99">
        <v>1</v>
      </c>
      <c r="P131" s="99">
        <v>3</v>
      </c>
      <c r="Q131" s="8">
        <v>1</v>
      </c>
      <c r="R131" s="20">
        <v>3</v>
      </c>
      <c r="S131" s="98" t="str">
        <f>IFERROR(IF(INDEX(#REF!,MATCH(#REF!,#REF!, 0))= "", "",INDEX(#REF!,MATCH(#REF!,#REF!, 0)) ), "")</f>
        <v/>
      </c>
      <c r="T131" s="8" t="str">
        <f>IFERROR(IF(INDEX(#REF!,MATCH(#REF!,#REF!, 0))= "", "",INDEX(#REF!,MATCH(#REF!,#REF!, 0)) ), "")</f>
        <v/>
      </c>
      <c r="U131" s="121" t="str">
        <f>IFERROR(IF(INDEX(#REF!,MATCH(#REF!,#REF!, 0))= "", "",INDEX(#REF!,MATCH(#REF!,#REF!, 0)) ), "")</f>
        <v/>
      </c>
      <c r="V131" s="101" t="str">
        <f>IFERROR(IF(INDEX(#REF!,MATCH(#REF!,#REF!, 0))= "", "",INDEX(#REF!,MATCH(#REF!,#REF!, 0)) ), "")</f>
        <v/>
      </c>
      <c r="W131" s="123" t="str">
        <f>IFERROR(IF(INDEX(#REF!,MATCH(#REF!,#REF!, 0))= "", "",INDEX(#REF!,MATCH(#REF!,#REF!, 0)) ), "")</f>
        <v/>
      </c>
      <c r="X131" s="119">
        <v>3</v>
      </c>
      <c r="Y131" s="120"/>
    </row>
    <row r="132" spans="1:25" ht="26.1" customHeight="1" x14ac:dyDescent="0.25">
      <c r="A132" s="12" t="s">
        <v>346</v>
      </c>
      <c r="B132" s="118" t="s">
        <v>356</v>
      </c>
      <c r="C132" s="118" t="s">
        <v>291</v>
      </c>
      <c r="D132" s="9" t="s">
        <v>151</v>
      </c>
      <c r="E132" s="37">
        <v>70617</v>
      </c>
      <c r="F132" s="98">
        <v>2</v>
      </c>
      <c r="G132" s="128">
        <v>3</v>
      </c>
      <c r="H132" s="8">
        <v>3</v>
      </c>
      <c r="I132" s="8">
        <v>4</v>
      </c>
      <c r="J132" s="8">
        <v>4</v>
      </c>
      <c r="K132" s="99">
        <v>3</v>
      </c>
      <c r="L132" s="10">
        <v>4</v>
      </c>
      <c r="M132" s="13">
        <v>2</v>
      </c>
      <c r="N132" s="101">
        <v>3</v>
      </c>
      <c r="O132" s="99">
        <v>3</v>
      </c>
      <c r="P132" s="99">
        <v>3</v>
      </c>
      <c r="Q132" s="8">
        <v>1</v>
      </c>
      <c r="R132" s="20">
        <v>3</v>
      </c>
      <c r="S132" s="98" t="str">
        <f>IFERROR(IF(INDEX(#REF!,MATCH(#REF!,#REF!, 0))= "", "",INDEX(#REF!,MATCH(#REF!,#REF!, 0)) ), "")</f>
        <v/>
      </c>
      <c r="T132" s="8" t="str">
        <f>IFERROR(IF(INDEX(#REF!,MATCH(#REF!,#REF!, 0))= "", "",INDEX(#REF!,MATCH(#REF!,#REF!, 0)) ), "")</f>
        <v/>
      </c>
      <c r="U132" s="121" t="str">
        <f>IFERROR(IF(INDEX(#REF!,MATCH(#REF!,#REF!, 0))= "", "",INDEX(#REF!,MATCH(#REF!,#REF!, 0)) ), "")</f>
        <v/>
      </c>
      <c r="V132" s="101" t="str">
        <f>IFERROR(IF(INDEX(#REF!,MATCH(#REF!,#REF!, 0))= "", "",INDEX(#REF!,MATCH(#REF!,#REF!, 0)) ), "")</f>
        <v/>
      </c>
      <c r="W132" s="42" t="str">
        <f>IFERROR(IF(INDEX(#REF!,MATCH(#REF!,#REF!, 0))= "", "",INDEX(#REF!,MATCH(#REF!,#REF!, 0)) ), "")</f>
        <v/>
      </c>
      <c r="X132" s="119">
        <v>3</v>
      </c>
      <c r="Y132" s="120"/>
    </row>
    <row r="133" spans="1:25" ht="26.1" customHeight="1" x14ac:dyDescent="0.25">
      <c r="A133" s="12" t="s">
        <v>346</v>
      </c>
      <c r="B133" s="118" t="s">
        <v>356</v>
      </c>
      <c r="C133" s="118" t="s">
        <v>305</v>
      </c>
      <c r="D133" s="9" t="s">
        <v>165</v>
      </c>
      <c r="E133" s="37">
        <v>34943</v>
      </c>
      <c r="F133" s="98">
        <v>3</v>
      </c>
      <c r="G133" s="128">
        <v>3</v>
      </c>
      <c r="H133" s="8">
        <v>2</v>
      </c>
      <c r="I133" s="8">
        <v>4</v>
      </c>
      <c r="J133" s="8">
        <v>4</v>
      </c>
      <c r="K133" s="99">
        <v>3</v>
      </c>
      <c r="L133" s="10">
        <v>4</v>
      </c>
      <c r="M133" s="13">
        <v>2</v>
      </c>
      <c r="N133" s="101">
        <v>3</v>
      </c>
      <c r="O133" s="99">
        <v>3</v>
      </c>
      <c r="P133" s="99">
        <v>3</v>
      </c>
      <c r="Q133" s="8">
        <v>1</v>
      </c>
      <c r="R133" s="20">
        <v>3</v>
      </c>
      <c r="S133" s="98" t="str">
        <f>IFERROR(IF(INDEX(#REF!,MATCH(#REF!,#REF!, 0))= "", "",INDEX(#REF!,MATCH(#REF!,#REF!, 0)) ), "")</f>
        <v/>
      </c>
      <c r="T133" s="8" t="str">
        <f>IFERROR(IF(INDEX(#REF!,MATCH(#REF!,#REF!, 0))= "", "",INDEX(#REF!,MATCH(#REF!,#REF!, 0)) ), "")</f>
        <v/>
      </c>
      <c r="U133" s="121" t="str">
        <f>IFERROR(IF(INDEX(#REF!,MATCH(#REF!,#REF!, 0))= "", "",INDEX(#REF!,MATCH(#REF!,#REF!, 0)) ), "")</f>
        <v/>
      </c>
      <c r="V133" s="101" t="str">
        <f>IFERROR(IF(INDEX(#REF!,MATCH(#REF!,#REF!, 0))= "", "",INDEX(#REF!,MATCH(#REF!,#REF!, 0)) ), "")</f>
        <v/>
      </c>
      <c r="W133" s="123" t="str">
        <f>IFERROR(IF(INDEX(#REF!,MATCH(#REF!,#REF!, 0))= "", "",INDEX(#REF!,MATCH(#REF!,#REF!, 0)) ), "")</f>
        <v/>
      </c>
      <c r="X133" s="119">
        <v>3</v>
      </c>
      <c r="Y133" s="120"/>
    </row>
    <row r="134" spans="1:25" ht="26.1" customHeight="1" x14ac:dyDescent="0.25">
      <c r="A134" s="12" t="s">
        <v>346</v>
      </c>
      <c r="B134" s="118" t="s">
        <v>356</v>
      </c>
      <c r="C134" s="118" t="s">
        <v>256</v>
      </c>
      <c r="D134" s="9" t="s">
        <v>116</v>
      </c>
      <c r="E134" s="37">
        <v>38319</v>
      </c>
      <c r="F134" s="98">
        <v>3</v>
      </c>
      <c r="G134" s="128">
        <v>3</v>
      </c>
      <c r="H134" s="8">
        <v>2</v>
      </c>
      <c r="I134" s="8">
        <v>4</v>
      </c>
      <c r="J134" s="8">
        <v>4</v>
      </c>
      <c r="K134" s="99">
        <v>4</v>
      </c>
      <c r="L134" s="10">
        <v>4</v>
      </c>
      <c r="M134" s="13">
        <v>2</v>
      </c>
      <c r="N134" s="101">
        <v>4</v>
      </c>
      <c r="O134" s="99">
        <v>2</v>
      </c>
      <c r="P134" s="99">
        <v>3</v>
      </c>
      <c r="Q134" s="8">
        <v>1</v>
      </c>
      <c r="R134" s="20">
        <v>4</v>
      </c>
      <c r="S134" s="98" t="str">
        <f>IFERROR(IF(INDEX(#REF!,MATCH(#REF!,#REF!, 0))= "", "",INDEX(#REF!,MATCH(#REF!,#REF!, 0)) ), "")</f>
        <v/>
      </c>
      <c r="T134" s="8" t="str">
        <f>IFERROR(IF(INDEX(#REF!,MATCH(#REF!,#REF!, 0))= "", "",INDEX(#REF!,MATCH(#REF!,#REF!, 0)) ), "")</f>
        <v/>
      </c>
      <c r="U134" s="121" t="str">
        <f>IFERROR(IF(INDEX(#REF!,MATCH(#REF!,#REF!, 0))= "", "",INDEX(#REF!,MATCH(#REF!,#REF!, 0)) ), "")</f>
        <v/>
      </c>
      <c r="V134" s="101" t="str">
        <f>IFERROR(IF(INDEX(#REF!,MATCH(#REF!,#REF!, 0))= "", "",INDEX(#REF!,MATCH(#REF!,#REF!, 0)) ), "")</f>
        <v/>
      </c>
      <c r="W134" s="42" t="str">
        <f>IFERROR(IF(INDEX(#REF!,MATCH(#REF!,#REF!, 0))= "", "",INDEX(#REF!,MATCH(#REF!,#REF!, 0)) ), "")</f>
        <v/>
      </c>
      <c r="X134" s="119">
        <v>3</v>
      </c>
      <c r="Y134" s="120"/>
    </row>
    <row r="135" spans="1:25" ht="26.1" customHeight="1" x14ac:dyDescent="0.25">
      <c r="A135" s="12" t="s">
        <v>346</v>
      </c>
      <c r="B135" s="118" t="s">
        <v>356</v>
      </c>
      <c r="C135" s="118" t="s">
        <v>298</v>
      </c>
      <c r="D135" s="9" t="s">
        <v>158</v>
      </c>
      <c r="E135" s="37">
        <v>19644</v>
      </c>
      <c r="F135" s="98">
        <v>1</v>
      </c>
      <c r="G135" s="128">
        <v>3</v>
      </c>
      <c r="H135" s="8">
        <v>2</v>
      </c>
      <c r="I135" s="8">
        <v>4</v>
      </c>
      <c r="J135" s="8">
        <v>3</v>
      </c>
      <c r="K135" s="99">
        <v>3</v>
      </c>
      <c r="L135" s="10">
        <v>4</v>
      </c>
      <c r="M135" s="13">
        <v>2</v>
      </c>
      <c r="N135" s="101">
        <v>3</v>
      </c>
      <c r="O135" s="99">
        <v>1</v>
      </c>
      <c r="P135" s="99">
        <v>3</v>
      </c>
      <c r="Q135" s="8">
        <v>1</v>
      </c>
      <c r="R135" s="20">
        <v>3</v>
      </c>
      <c r="S135" s="98" t="str">
        <f>IFERROR(IF(INDEX(#REF!,MATCH(#REF!,#REF!, 0))= "", "",INDEX(#REF!,MATCH(#REF!,#REF!, 0)) ), "")</f>
        <v/>
      </c>
      <c r="T135" s="8" t="str">
        <f>IFERROR(IF(INDEX(#REF!,MATCH(#REF!,#REF!, 0))= "", "",INDEX(#REF!,MATCH(#REF!,#REF!, 0)) ), "")</f>
        <v/>
      </c>
      <c r="U135" s="121" t="str">
        <f>IFERROR(IF(INDEX(#REF!,MATCH(#REF!,#REF!, 0))= "", "",INDEX(#REF!,MATCH(#REF!,#REF!, 0)) ), "")</f>
        <v/>
      </c>
      <c r="V135" s="101" t="str">
        <f>IFERROR(IF(INDEX(#REF!,MATCH(#REF!,#REF!, 0))= "", "",INDEX(#REF!,MATCH(#REF!,#REF!, 0)) ), "")</f>
        <v/>
      </c>
      <c r="W135" s="123" t="str">
        <f>IFERROR(IF(INDEX(#REF!,MATCH(#REF!,#REF!, 0))= "", "",INDEX(#REF!,MATCH(#REF!,#REF!, 0)) ), "")</f>
        <v/>
      </c>
      <c r="X135" s="119">
        <v>3</v>
      </c>
      <c r="Y135" s="120"/>
    </row>
    <row r="136" spans="1:25" ht="26.1" customHeight="1" x14ac:dyDescent="0.25">
      <c r="A136" s="12" t="s">
        <v>346</v>
      </c>
      <c r="B136" s="118" t="s">
        <v>356</v>
      </c>
      <c r="C136" s="118" t="s">
        <v>206</v>
      </c>
      <c r="D136" s="9" t="s">
        <v>66</v>
      </c>
      <c r="E136" s="37">
        <v>37907</v>
      </c>
      <c r="F136" s="98">
        <v>2</v>
      </c>
      <c r="G136" s="128">
        <v>3</v>
      </c>
      <c r="H136" s="8">
        <v>2</v>
      </c>
      <c r="I136" s="8">
        <v>4</v>
      </c>
      <c r="J136" s="8">
        <v>4</v>
      </c>
      <c r="K136" s="99">
        <v>3</v>
      </c>
      <c r="L136" s="10">
        <v>3</v>
      </c>
      <c r="M136" s="13">
        <v>2</v>
      </c>
      <c r="N136" s="101">
        <v>3</v>
      </c>
      <c r="O136" s="99">
        <v>2</v>
      </c>
      <c r="P136" s="99">
        <v>3</v>
      </c>
      <c r="Q136" s="8">
        <v>1</v>
      </c>
      <c r="R136" s="20">
        <v>3</v>
      </c>
      <c r="S136" s="98" t="str">
        <f>IFERROR(IF(INDEX(#REF!,MATCH(#REF!,#REF!, 0))= "", "",INDEX(#REF!,MATCH(#REF!,#REF!, 0)) ), "")</f>
        <v/>
      </c>
      <c r="T136" s="8" t="str">
        <f>IFERROR(IF(INDEX(#REF!,MATCH(#REF!,#REF!, 0))= "", "",INDEX(#REF!,MATCH(#REF!,#REF!, 0)) ), "")</f>
        <v/>
      </c>
      <c r="U136" s="121" t="str">
        <f>IFERROR(IF(INDEX(#REF!,MATCH(#REF!,#REF!, 0))= "", "",INDEX(#REF!,MATCH(#REF!,#REF!, 0)) ), "")</f>
        <v/>
      </c>
      <c r="V136" s="101" t="str">
        <f>IFERROR(IF(INDEX(#REF!,MATCH(#REF!,#REF!, 0))= "", "",INDEX(#REF!,MATCH(#REF!,#REF!, 0)) ), "")</f>
        <v/>
      </c>
      <c r="W136" s="123" t="str">
        <f>IFERROR(IF(INDEX(#REF!,MATCH(#REF!,#REF!, 0))= "", "",INDEX(#REF!,MATCH(#REF!,#REF!, 0)) ), "")</f>
        <v/>
      </c>
      <c r="X136" s="119">
        <v>3</v>
      </c>
      <c r="Y136" s="120"/>
    </row>
    <row r="137" spans="1:25" ht="26.1" customHeight="1" x14ac:dyDescent="0.25">
      <c r="A137" s="12" t="s">
        <v>346</v>
      </c>
      <c r="B137" s="118" t="s">
        <v>356</v>
      </c>
      <c r="C137" s="118" t="s">
        <v>303</v>
      </c>
      <c r="D137" s="9" t="s">
        <v>163</v>
      </c>
      <c r="E137" s="37">
        <v>33793</v>
      </c>
      <c r="F137" s="98">
        <v>2</v>
      </c>
      <c r="G137" s="128">
        <v>3</v>
      </c>
      <c r="H137" s="8">
        <v>2</v>
      </c>
      <c r="I137" s="8">
        <v>4</v>
      </c>
      <c r="J137" s="8">
        <v>4</v>
      </c>
      <c r="K137" s="99">
        <v>3</v>
      </c>
      <c r="L137" s="10">
        <v>4</v>
      </c>
      <c r="M137" s="13">
        <v>2</v>
      </c>
      <c r="N137" s="101">
        <v>3</v>
      </c>
      <c r="O137" s="99">
        <v>3</v>
      </c>
      <c r="P137" s="99">
        <v>3</v>
      </c>
      <c r="Q137" s="8">
        <v>1</v>
      </c>
      <c r="R137" s="20">
        <v>3</v>
      </c>
      <c r="S137" s="98" t="str">
        <f>IFERROR(IF(INDEX(#REF!,MATCH(#REF!,#REF!, 0))= "", "",INDEX(#REF!,MATCH(#REF!,#REF!, 0)) ), "")</f>
        <v/>
      </c>
      <c r="T137" s="8" t="str">
        <f>IFERROR(IF(INDEX(#REF!,MATCH(#REF!,#REF!, 0))= "", "",INDEX(#REF!,MATCH(#REF!,#REF!, 0)) ), "")</f>
        <v/>
      </c>
      <c r="U137" s="121" t="str">
        <f>IFERROR(IF(INDEX(#REF!,MATCH(#REF!,#REF!, 0))= "", "",INDEX(#REF!,MATCH(#REF!,#REF!, 0)) ), "")</f>
        <v/>
      </c>
      <c r="V137" s="101" t="str">
        <f>IFERROR(IF(INDEX(#REF!,MATCH(#REF!,#REF!, 0))= "", "",INDEX(#REF!,MATCH(#REF!,#REF!, 0)) ), "")</f>
        <v/>
      </c>
      <c r="W137" s="123" t="str">
        <f>IFERROR(IF(INDEX(#REF!,MATCH(#REF!,#REF!, 0))= "", "",INDEX(#REF!,MATCH(#REF!,#REF!, 0)) ), "")</f>
        <v/>
      </c>
      <c r="X137" s="119">
        <v>3</v>
      </c>
      <c r="Y137" s="120"/>
    </row>
    <row r="138" spans="1:25" ht="26.1" customHeight="1" x14ac:dyDescent="0.25">
      <c r="A138" s="12" t="s">
        <v>346</v>
      </c>
      <c r="B138" s="118" t="s">
        <v>356</v>
      </c>
      <c r="C138" s="118" t="s">
        <v>273</v>
      </c>
      <c r="D138" s="9" t="s">
        <v>133</v>
      </c>
      <c r="E138" s="37">
        <v>45890</v>
      </c>
      <c r="F138" s="98">
        <v>2</v>
      </c>
      <c r="G138" s="128">
        <v>3</v>
      </c>
      <c r="H138" s="8">
        <v>2</v>
      </c>
      <c r="I138" s="8">
        <v>4</v>
      </c>
      <c r="J138" s="8">
        <v>4</v>
      </c>
      <c r="K138" s="99">
        <v>3</v>
      </c>
      <c r="L138" s="10">
        <v>3</v>
      </c>
      <c r="M138" s="13">
        <v>2</v>
      </c>
      <c r="N138" s="101">
        <v>3</v>
      </c>
      <c r="O138" s="99">
        <v>1</v>
      </c>
      <c r="P138" s="99">
        <v>3</v>
      </c>
      <c r="Q138" s="8">
        <v>1</v>
      </c>
      <c r="R138" s="20">
        <v>3</v>
      </c>
      <c r="S138" s="98" t="str">
        <f>IFERROR(IF(INDEX(#REF!,MATCH(#REF!,#REF!, 0))= "", "",INDEX(#REF!,MATCH(#REF!,#REF!, 0)) ), "")</f>
        <v/>
      </c>
      <c r="T138" s="8" t="str">
        <f>IFERROR(IF(INDEX(#REF!,MATCH(#REF!,#REF!, 0))= "", "",INDEX(#REF!,MATCH(#REF!,#REF!, 0)) ), "")</f>
        <v/>
      </c>
      <c r="U138" s="121" t="str">
        <f>IFERROR(IF(INDEX(#REF!,MATCH(#REF!,#REF!, 0))= "", "",INDEX(#REF!,MATCH(#REF!,#REF!, 0)) ), "")</f>
        <v/>
      </c>
      <c r="V138" s="101" t="str">
        <f>IFERROR(IF(INDEX(#REF!,MATCH(#REF!,#REF!, 0))= "", "",INDEX(#REF!,MATCH(#REF!,#REF!, 0)) ), "")</f>
        <v/>
      </c>
      <c r="W138" s="123" t="str">
        <f>IFERROR(IF(INDEX(#REF!,MATCH(#REF!,#REF!, 0))= "", "",INDEX(#REF!,MATCH(#REF!,#REF!, 0)) ), "")</f>
        <v/>
      </c>
      <c r="X138" s="119">
        <v>3</v>
      </c>
      <c r="Y138" s="120"/>
    </row>
    <row r="139" spans="1:25" ht="26.1" customHeight="1" x14ac:dyDescent="0.25">
      <c r="A139" s="12" t="s">
        <v>346</v>
      </c>
      <c r="B139" s="118" t="s">
        <v>356</v>
      </c>
      <c r="C139" s="118" t="s">
        <v>212</v>
      </c>
      <c r="D139" s="9" t="s">
        <v>72</v>
      </c>
      <c r="E139" s="37">
        <v>23479</v>
      </c>
      <c r="F139" s="98">
        <v>3</v>
      </c>
      <c r="G139" s="128">
        <v>3</v>
      </c>
      <c r="H139" s="8">
        <v>3</v>
      </c>
      <c r="I139" s="8">
        <v>4</v>
      </c>
      <c r="J139" s="8">
        <v>4</v>
      </c>
      <c r="K139" s="99">
        <v>3</v>
      </c>
      <c r="L139" s="10">
        <v>4</v>
      </c>
      <c r="M139" s="13">
        <v>3</v>
      </c>
      <c r="N139" s="101">
        <v>3</v>
      </c>
      <c r="O139" s="99">
        <v>1</v>
      </c>
      <c r="P139" s="99">
        <v>3</v>
      </c>
      <c r="Q139" s="8">
        <v>1</v>
      </c>
      <c r="R139" s="20">
        <v>3</v>
      </c>
      <c r="S139" s="98" t="str">
        <f>IFERROR(IF(INDEX(#REF!,MATCH(#REF!,#REF!, 0))= "", "",INDEX(#REF!,MATCH(#REF!,#REF!, 0)) ), "")</f>
        <v/>
      </c>
      <c r="T139" s="8" t="str">
        <f>IFERROR(IF(INDEX(#REF!,MATCH(#REF!,#REF!, 0))= "", "",INDEX(#REF!,MATCH(#REF!,#REF!, 0)) ), "")</f>
        <v/>
      </c>
      <c r="U139" s="121" t="str">
        <f>IFERROR(IF(INDEX(#REF!,MATCH(#REF!,#REF!, 0))= "", "",INDEX(#REF!,MATCH(#REF!,#REF!, 0)) ), "")</f>
        <v/>
      </c>
      <c r="V139" s="101" t="str">
        <f>IFERROR(IF(INDEX(#REF!,MATCH(#REF!,#REF!, 0))= "", "",INDEX(#REF!,MATCH(#REF!,#REF!, 0)) ), "")</f>
        <v/>
      </c>
      <c r="W139" s="123" t="str">
        <f>IFERROR(IF(INDEX(#REF!,MATCH(#REF!,#REF!, 0))= "", "",INDEX(#REF!,MATCH(#REF!,#REF!, 0)) ), "")</f>
        <v/>
      </c>
      <c r="X139" s="119">
        <v>3</v>
      </c>
      <c r="Y139" s="120"/>
    </row>
    <row r="140" spans="1:25" ht="26.1" customHeight="1" x14ac:dyDescent="0.25">
      <c r="A140" s="12" t="s">
        <v>346</v>
      </c>
      <c r="B140" s="118" t="s">
        <v>356</v>
      </c>
      <c r="C140" s="118" t="s">
        <v>310</v>
      </c>
      <c r="D140" s="9" t="s">
        <v>170</v>
      </c>
      <c r="E140" s="37">
        <v>32168</v>
      </c>
      <c r="F140" s="98">
        <v>3</v>
      </c>
      <c r="G140" s="8">
        <v>2</v>
      </c>
      <c r="H140" s="8">
        <v>2</v>
      </c>
      <c r="I140" s="8">
        <v>4</v>
      </c>
      <c r="J140" s="8">
        <v>4</v>
      </c>
      <c r="K140" s="99">
        <v>3</v>
      </c>
      <c r="L140" s="10">
        <v>4</v>
      </c>
      <c r="M140" s="13">
        <v>2</v>
      </c>
      <c r="N140" s="101">
        <v>3</v>
      </c>
      <c r="O140" s="99">
        <v>2</v>
      </c>
      <c r="P140" s="99">
        <v>3</v>
      </c>
      <c r="Q140" s="8">
        <v>1</v>
      </c>
      <c r="R140" s="20">
        <v>3</v>
      </c>
      <c r="S140" s="98" t="str">
        <f>IFERROR(IF(INDEX(#REF!,MATCH(#REF!,#REF!, 0))= "", "",INDEX(#REF!,MATCH(#REF!,#REF!, 0)) ), "")</f>
        <v/>
      </c>
      <c r="T140" s="8" t="str">
        <f>IFERROR(IF(INDEX(#REF!,MATCH(#REF!,#REF!, 0))= "", "",INDEX(#REF!,MATCH(#REF!,#REF!, 0)) ), "")</f>
        <v/>
      </c>
      <c r="U140" s="121" t="str">
        <f>IFERROR(IF(INDEX(#REF!,MATCH(#REF!,#REF!, 0))= "", "",INDEX(#REF!,MATCH(#REF!,#REF!, 0)) ), "")</f>
        <v/>
      </c>
      <c r="V140" s="101" t="str">
        <f>IFERROR(IF(INDEX(#REF!,MATCH(#REF!,#REF!, 0))= "", "",INDEX(#REF!,MATCH(#REF!,#REF!, 0)) ), "")</f>
        <v/>
      </c>
      <c r="W140" s="123" t="str">
        <f>IFERROR(IF(INDEX(#REF!,MATCH(#REF!,#REF!, 0))= "", "",INDEX(#REF!,MATCH(#REF!,#REF!, 0)) ), "")</f>
        <v/>
      </c>
      <c r="X140" s="119">
        <v>3</v>
      </c>
      <c r="Y140" s="120"/>
    </row>
    <row r="141" spans="1:25" ht="24.4" customHeight="1" x14ac:dyDescent="0.25">
      <c r="A141" s="12" t="s">
        <v>346</v>
      </c>
      <c r="B141" s="118" t="s">
        <v>356</v>
      </c>
      <c r="C141" s="118" t="s">
        <v>217</v>
      </c>
      <c r="D141" s="9" t="s">
        <v>77</v>
      </c>
      <c r="E141" s="37">
        <v>45622</v>
      </c>
      <c r="F141" s="98">
        <v>2</v>
      </c>
      <c r="G141" s="128">
        <v>3</v>
      </c>
      <c r="H141" s="8">
        <v>2</v>
      </c>
      <c r="I141" s="8">
        <v>4</v>
      </c>
      <c r="J141" s="8">
        <v>4</v>
      </c>
      <c r="K141" s="99">
        <v>3</v>
      </c>
      <c r="L141" s="10">
        <v>3</v>
      </c>
      <c r="M141" s="13">
        <v>2</v>
      </c>
      <c r="N141" s="101">
        <v>3</v>
      </c>
      <c r="O141" s="99">
        <v>1</v>
      </c>
      <c r="P141" s="99">
        <v>3</v>
      </c>
      <c r="Q141" s="8">
        <v>1</v>
      </c>
      <c r="R141" s="20">
        <v>3</v>
      </c>
      <c r="S141" s="98" t="str">
        <f>IFERROR(IF(INDEX(#REF!,MATCH(#REF!,#REF!, 0))= "", "",INDEX(#REF!,MATCH(#REF!,#REF!, 0)) ), "")</f>
        <v/>
      </c>
      <c r="T141" s="8" t="str">
        <f>IFERROR(IF(INDEX(#REF!,MATCH(#REF!,#REF!, 0))= "", "",INDEX(#REF!,MATCH(#REF!,#REF!, 0)) ), "")</f>
        <v/>
      </c>
      <c r="U141" s="121" t="str">
        <f>IFERROR(IF(INDEX(#REF!,MATCH(#REF!,#REF!, 0))= "", "",INDEX(#REF!,MATCH(#REF!,#REF!, 0)) ), "")</f>
        <v/>
      </c>
      <c r="V141" s="101" t="str">
        <f>IFERROR(IF(INDEX(#REF!,MATCH(#REF!,#REF!, 0))= "", "",INDEX(#REF!,MATCH(#REF!,#REF!, 0)) ), "")</f>
        <v/>
      </c>
      <c r="W141" s="123" t="str">
        <f>IFERROR(IF(INDEX(#REF!,MATCH(#REF!,#REF!, 0))= "", "",INDEX(#REF!,MATCH(#REF!,#REF!, 0)) ), "")</f>
        <v/>
      </c>
      <c r="X141" s="119">
        <v>3</v>
      </c>
      <c r="Y141" s="120"/>
    </row>
    <row r="142" spans="1:25" x14ac:dyDescent="0.25">
      <c r="A142" s="12" t="s">
        <v>346</v>
      </c>
      <c r="B142" s="118" t="s">
        <v>356</v>
      </c>
      <c r="C142" s="118" t="s">
        <v>260</v>
      </c>
      <c r="D142" s="9" t="s">
        <v>120</v>
      </c>
      <c r="E142" s="37">
        <v>6460</v>
      </c>
      <c r="F142" s="98">
        <v>1</v>
      </c>
      <c r="G142" s="128">
        <v>3</v>
      </c>
      <c r="H142" s="8">
        <v>2</v>
      </c>
      <c r="I142" s="8">
        <v>4</v>
      </c>
      <c r="J142" s="8">
        <v>3</v>
      </c>
      <c r="K142" s="99">
        <v>3</v>
      </c>
      <c r="L142" s="10">
        <v>3</v>
      </c>
      <c r="M142" s="13">
        <v>2</v>
      </c>
      <c r="N142" s="101">
        <v>3</v>
      </c>
      <c r="O142" s="99">
        <v>1</v>
      </c>
      <c r="P142" s="99">
        <v>3</v>
      </c>
      <c r="Q142" s="8">
        <v>1</v>
      </c>
      <c r="R142" s="20">
        <v>3</v>
      </c>
      <c r="S142" s="98" t="str">
        <f>IFERROR(IF(INDEX(#REF!,MATCH(#REF!,#REF!, 0))= "", "",INDEX(#REF!,MATCH(#REF!,#REF!, 0)) ), "")</f>
        <v/>
      </c>
      <c r="T142" s="8" t="str">
        <f>IFERROR(IF(INDEX(#REF!,MATCH(#REF!,#REF!, 0))= "", "",INDEX(#REF!,MATCH(#REF!,#REF!, 0)) ), "")</f>
        <v/>
      </c>
      <c r="U142" s="121" t="str">
        <f>IFERROR(IF(INDEX(#REF!,MATCH(#REF!,#REF!, 0))= "", "",INDEX(#REF!,MATCH(#REF!,#REF!, 0)) ), "")</f>
        <v/>
      </c>
      <c r="V142" s="101" t="str">
        <f>IFERROR(IF(INDEX(#REF!,MATCH(#REF!,#REF!, 0))= "", "",INDEX(#REF!,MATCH(#REF!,#REF!, 0)) ), "")</f>
        <v/>
      </c>
      <c r="W142" s="122" t="str">
        <f>IFERROR(IF(INDEX(#REF!,MATCH(#REF!,#REF!, 0))= "", "",INDEX(#REF!,MATCH(#REF!,#REF!, 0)) ), "")</f>
        <v/>
      </c>
      <c r="X142" s="119">
        <v>3</v>
      </c>
      <c r="Y142" s="120"/>
    </row>
  </sheetData>
  <mergeCells count="4">
    <mergeCell ref="X1:Y1"/>
    <mergeCell ref="S1:U1"/>
    <mergeCell ref="A1:D1"/>
    <mergeCell ref="V1:W1"/>
  </mergeCells>
  <phoneticPr fontId="9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2E15B-4A90-4D7A-AE3A-79F27D5C8718}">
  <sheetPr codeName="Sheet3">
    <tabColor theme="7" tint="0.59999389629810485"/>
  </sheetPr>
  <dimension ref="A1:AY142"/>
  <sheetViews>
    <sheetView showGridLines="0" zoomScaleNormal="100" workbookViewId="0">
      <pane ySplit="2" topLeftCell="A3" activePane="bottomLeft" state="frozen"/>
      <selection activeCell="R19" sqref="R19"/>
      <selection pane="bottomLeft" activeCell="A3" sqref="A3"/>
    </sheetView>
  </sheetViews>
  <sheetFormatPr defaultColWidth="8.5703125" defaultRowHeight="15" x14ac:dyDescent="0.25"/>
  <cols>
    <col min="1" max="1" width="16.28515625" style="2" customWidth="1"/>
    <col min="2" max="2" width="16.85546875" style="2" customWidth="1"/>
    <col min="3" max="3" width="24.7109375" style="2" bestFit="1" customWidth="1"/>
    <col min="4" max="4" width="18" style="2" customWidth="1"/>
    <col min="5" max="5" width="14.140625" style="3" customWidth="1"/>
    <col min="6" max="6" width="18.42578125" style="3" bestFit="1" customWidth="1"/>
    <col min="7" max="7" width="18.42578125" style="3" customWidth="1"/>
    <col min="8" max="8" width="18.140625" style="3" customWidth="1"/>
    <col min="9" max="13" width="13.140625" style="3" customWidth="1"/>
    <col min="14" max="15" width="13.42578125" style="3" customWidth="1"/>
    <col min="16" max="17" width="16.140625" style="3" customWidth="1"/>
    <col min="18" max="18" width="13.42578125" style="3" customWidth="1"/>
    <col min="19" max="19" width="15.85546875" style="3" customWidth="1"/>
    <col min="20" max="20" width="13.42578125" style="3" customWidth="1"/>
    <col min="21" max="21" width="14.42578125" style="3" customWidth="1"/>
    <col min="22" max="22" width="18.42578125" style="3" customWidth="1"/>
    <col min="23" max="29" width="18.42578125" customWidth="1"/>
    <col min="30" max="31" width="14.42578125" style="3" customWidth="1"/>
    <col min="32" max="32" width="17.28515625" style="26" customWidth="1"/>
    <col min="33" max="34" width="14.42578125" style="3" customWidth="1"/>
    <col min="35" max="35" width="14.42578125" style="26" customWidth="1"/>
    <col min="36" max="36" width="19.140625" style="7" customWidth="1"/>
    <col min="37" max="37" width="14.42578125" style="26" customWidth="1"/>
    <col min="38" max="38" width="14.42578125" style="3" customWidth="1"/>
    <col min="39" max="39" width="14.42578125" style="26" customWidth="1"/>
    <col min="40" max="40" width="14.42578125" style="3" customWidth="1"/>
    <col min="41" max="42" width="14.42578125" style="26" customWidth="1"/>
    <col min="43" max="43" width="20.140625" style="5" customWidth="1"/>
    <col min="44" max="44" width="25.42578125" style="1" customWidth="1"/>
    <col min="45" max="45" width="27.28515625" customWidth="1"/>
    <col min="46" max="46" width="22.140625" customWidth="1"/>
    <col min="47" max="47" width="16" style="1" customWidth="1"/>
    <col min="48" max="48" width="11.140625" customWidth="1"/>
    <col min="49" max="49" width="12.5703125" style="4" customWidth="1"/>
    <col min="50" max="50" width="20" style="3" bestFit="1" customWidth="1"/>
    <col min="51" max="51" width="46.140625" style="1" customWidth="1"/>
  </cols>
  <sheetData>
    <row r="1" spans="1:51" ht="50.45" customHeight="1" thickTop="1" thickBot="1" x14ac:dyDescent="0.3">
      <c r="A1" s="147" t="s">
        <v>1</v>
      </c>
      <c r="B1" s="148"/>
      <c r="C1" s="148"/>
      <c r="D1" s="148"/>
      <c r="E1" s="129" t="s">
        <v>2</v>
      </c>
      <c r="F1" s="133" t="s">
        <v>22</v>
      </c>
      <c r="G1" s="133"/>
      <c r="H1" s="133"/>
      <c r="I1" s="133"/>
      <c r="J1" s="133"/>
      <c r="K1" s="133"/>
      <c r="L1" s="133"/>
      <c r="M1" s="133"/>
      <c r="N1" s="133" t="s">
        <v>23</v>
      </c>
      <c r="O1" s="133"/>
      <c r="P1" s="133"/>
      <c r="Q1" s="133"/>
      <c r="R1" s="133"/>
      <c r="S1" s="133"/>
      <c r="T1" s="133"/>
      <c r="U1" s="133"/>
      <c r="V1" s="144" t="s">
        <v>24</v>
      </c>
      <c r="W1" s="145"/>
      <c r="X1" s="145"/>
      <c r="Y1" s="145"/>
      <c r="Z1" s="145"/>
      <c r="AA1" s="145"/>
      <c r="AB1" s="145"/>
      <c r="AC1" s="146"/>
      <c r="AD1" s="144" t="s">
        <v>25</v>
      </c>
      <c r="AE1" s="145"/>
      <c r="AF1" s="145"/>
      <c r="AG1" s="145"/>
      <c r="AH1" s="145"/>
      <c r="AI1" s="145"/>
      <c r="AJ1" s="145"/>
      <c r="AK1" s="146"/>
      <c r="AL1"/>
      <c r="AM1"/>
      <c r="AN1"/>
      <c r="AO1"/>
      <c r="AP1"/>
      <c r="AQ1"/>
      <c r="AR1"/>
      <c r="AU1"/>
      <c r="AW1"/>
      <c r="AX1"/>
      <c r="AY1"/>
    </row>
    <row r="2" spans="1:51" ht="93.75" customHeight="1" thickTop="1" thickBot="1" x14ac:dyDescent="0.3">
      <c r="A2" s="16" t="s">
        <v>5</v>
      </c>
      <c r="B2" s="17" t="s">
        <v>6</v>
      </c>
      <c r="C2" s="17" t="s">
        <v>7</v>
      </c>
      <c r="D2" s="17" t="s">
        <v>8</v>
      </c>
      <c r="E2" s="17" t="s">
        <v>9</v>
      </c>
      <c r="F2" s="25" t="s">
        <v>26</v>
      </c>
      <c r="G2" s="57" t="s">
        <v>27</v>
      </c>
      <c r="H2" s="18" t="s">
        <v>28</v>
      </c>
      <c r="I2" s="18" t="s">
        <v>29</v>
      </c>
      <c r="J2" s="18" t="s">
        <v>30</v>
      </c>
      <c r="K2" s="18" t="s">
        <v>31</v>
      </c>
      <c r="L2" s="18" t="s">
        <v>32</v>
      </c>
      <c r="M2" s="19" t="s">
        <v>33</v>
      </c>
      <c r="N2" s="22" t="s">
        <v>34</v>
      </c>
      <c r="O2" s="58" t="s">
        <v>35</v>
      </c>
      <c r="P2" s="23" t="s">
        <v>36</v>
      </c>
      <c r="Q2" s="23" t="s">
        <v>37</v>
      </c>
      <c r="R2" s="23" t="s">
        <v>38</v>
      </c>
      <c r="S2" s="23" t="s">
        <v>39</v>
      </c>
      <c r="T2" s="23" t="s">
        <v>40</v>
      </c>
      <c r="U2" s="24" t="s">
        <v>41</v>
      </c>
      <c r="V2" s="27" t="s">
        <v>42</v>
      </c>
      <c r="W2" s="29" t="s">
        <v>43</v>
      </c>
      <c r="X2" s="29" t="s">
        <v>44</v>
      </c>
      <c r="Y2" s="29" t="s">
        <v>45</v>
      </c>
      <c r="Z2" s="29" t="s">
        <v>46</v>
      </c>
      <c r="AA2" s="29" t="s">
        <v>47</v>
      </c>
      <c r="AB2" s="28" t="s">
        <v>48</v>
      </c>
      <c r="AC2" s="56" t="s">
        <v>49</v>
      </c>
      <c r="AD2" s="55" t="s">
        <v>10</v>
      </c>
      <c r="AE2" s="28" t="s">
        <v>0</v>
      </c>
      <c r="AF2" s="28" t="s">
        <v>11</v>
      </c>
      <c r="AG2" s="28" t="s">
        <v>12</v>
      </c>
      <c r="AH2" s="28" t="s">
        <v>13</v>
      </c>
      <c r="AI2" s="28" t="s">
        <v>14</v>
      </c>
      <c r="AJ2" s="28" t="s">
        <v>15</v>
      </c>
      <c r="AK2" s="30" t="s">
        <v>16</v>
      </c>
      <c r="AL2"/>
      <c r="AM2"/>
      <c r="AN2"/>
      <c r="AO2"/>
      <c r="AP2"/>
      <c r="AQ2"/>
      <c r="AR2"/>
      <c r="AU2"/>
      <c r="AW2"/>
      <c r="AX2"/>
      <c r="AY2"/>
    </row>
    <row r="3" spans="1:51" s="80" customFormat="1" ht="17.649999999999999" customHeight="1" thickTop="1" x14ac:dyDescent="0.25">
      <c r="A3" s="109" t="s">
        <v>347</v>
      </c>
      <c r="B3" s="65" t="s">
        <v>357</v>
      </c>
      <c r="C3" s="65" t="s">
        <v>313</v>
      </c>
      <c r="D3" s="40" t="s">
        <v>173</v>
      </c>
      <c r="E3" s="37">
        <v>926906</v>
      </c>
      <c r="F3" s="98">
        <v>69205</v>
      </c>
      <c r="G3" s="111">
        <v>57914.043364953657</v>
      </c>
      <c r="H3" s="111">
        <v>118173</v>
      </c>
      <c r="I3" s="111">
        <v>482014</v>
      </c>
      <c r="J3" s="111">
        <v>295185</v>
      </c>
      <c r="K3" s="111">
        <v>76650</v>
      </c>
      <c r="L3" s="112">
        <v>39917</v>
      </c>
      <c r="M3" s="111">
        <v>45146.01</v>
      </c>
      <c r="N3" s="98">
        <v>147618</v>
      </c>
      <c r="O3" s="101">
        <v>123178</v>
      </c>
      <c r="P3" s="99">
        <v>106617</v>
      </c>
      <c r="Q3" s="99">
        <v>461032</v>
      </c>
      <c r="R3" s="99">
        <v>364055</v>
      </c>
      <c r="S3" s="99">
        <v>202430</v>
      </c>
      <c r="T3" s="99">
        <v>165905</v>
      </c>
      <c r="U3" s="113">
        <v>396560</v>
      </c>
      <c r="V3" s="102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>78413</v>
      </c>
      <c r="W3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65263.956635046343</v>
      </c>
      <c r="X3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-11556</v>
      </c>
      <c r="Y3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-20982</v>
      </c>
      <c r="Z3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68870</v>
      </c>
      <c r="AA3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125780</v>
      </c>
      <c r="AB3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125988</v>
      </c>
      <c r="AC3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351413.99</v>
      </c>
      <c r="AD3" s="115">
        <f>IFERROR(ROUND((tblPiNHistorical[[#This Row],[CCCM - new]] - tblPiNHistorical[[#This Row],[CCCM - old]])/tblPiNHistorical[[#This Row],[CCCM - old]], 1), "")</f>
        <v>1.1000000000000001</v>
      </c>
      <c r="AE3" s="104">
        <f>IFERROR(ROUND((tblPiNHistorical[[#This Row],[Education - new]]-tblPiNHistorical[[#This Row],[Education - old]])/tblPiNHistorical[[#This Row],[Education - old]], 1), "")</f>
        <v>1.1000000000000001</v>
      </c>
      <c r="AF3" s="104">
        <f>IFERROR(ROUND((tblPiNHistorical[[#This Row],[Nutrition - new]]-tblPiNHistorical[[#This Row],[Nutrition - old]])/tblPiNHistorical[[#This Row],[Nutrition - old]], 1), "")</f>
        <v>-0.1</v>
      </c>
      <c r="AG3" s="104">
        <f>IFERROR(ROUND((tblPiNHistorical[[#This Row],[Food Security - new]]-tblPiNHistorical[[#This Row],[Food Security - old]])/tblPiNHistorical[[#This Row],[Food Security - old]], 1), "")</f>
        <v>0</v>
      </c>
      <c r="AH3" s="104">
        <f>IFERROR(ROUND((tblPiNHistorical[[#This Row],[Health - new]]-tblPiNHistorical[[#This Row],[Health - old]])/tblPiNHistorical[[#This Row],[Health - old]], 1), "")</f>
        <v>0.2</v>
      </c>
      <c r="AI3" s="104">
        <f>IFERROR(ROUND((tblPiNHistorical[[#This Row],[Overarching Protection - new]]-tblPiNHistorical[[#This Row],[Overarching Protection - old]])/tblPiNHistorical[[#This Row],[Overarching Protection - old]], 1), "")</f>
        <v>1.6</v>
      </c>
      <c r="AJ3" s="104">
        <f>IFERROR(ROUND((tblPiNHistorical[[#This Row],[Shelter - new]]-tblPiNHistorical[[#This Row],[Shelter - old]])/tblPiNHistorical[[#This Row],[Shelter - old]], 1), "")</f>
        <v>3.2</v>
      </c>
      <c r="AK3" s="116">
        <f>IFERROR(ROUND((tblPiNHistorical[[#This Row],[WASH - new]]-tblPiNHistorical[[#This Row],[WASH - old]])/tblPiNHistorical[[#This Row],[WASH - old]], 1), "")</f>
        <v>7.8</v>
      </c>
    </row>
    <row r="4" spans="1:51" s="80" customFormat="1" ht="17.649999999999999" customHeight="1" x14ac:dyDescent="0.25">
      <c r="A4" s="109" t="s">
        <v>347</v>
      </c>
      <c r="B4" s="65" t="s">
        <v>357</v>
      </c>
      <c r="C4" s="65" t="s">
        <v>249</v>
      </c>
      <c r="D4" s="40" t="s">
        <v>109</v>
      </c>
      <c r="E4" s="37">
        <v>435779</v>
      </c>
      <c r="F4" s="98">
        <v>40188</v>
      </c>
      <c r="G4" s="111">
        <v>51153.010684695677</v>
      </c>
      <c r="H4" s="111">
        <v>47309</v>
      </c>
      <c r="I4" s="111">
        <v>143092</v>
      </c>
      <c r="J4" s="111">
        <v>59503</v>
      </c>
      <c r="K4" s="111">
        <v>63777</v>
      </c>
      <c r="L4" s="112">
        <v>21369</v>
      </c>
      <c r="M4" s="111">
        <v>37700.520000000004</v>
      </c>
      <c r="N4" s="98">
        <v>72923</v>
      </c>
      <c r="O4" s="101">
        <v>39625</v>
      </c>
      <c r="P4" s="99">
        <v>48274</v>
      </c>
      <c r="Q4" s="99">
        <v>174768</v>
      </c>
      <c r="R4" s="99">
        <v>155594</v>
      </c>
      <c r="S4" s="99">
        <v>94639</v>
      </c>
      <c r="T4" s="99">
        <v>52615</v>
      </c>
      <c r="U4" s="113">
        <v>182217</v>
      </c>
      <c r="V4" s="102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>32735</v>
      </c>
      <c r="W4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-11528.010684695677</v>
      </c>
      <c r="X4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965</v>
      </c>
      <c r="Y4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31676</v>
      </c>
      <c r="Z4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96091</v>
      </c>
      <c r="AA4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30862</v>
      </c>
      <c r="AB4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31246</v>
      </c>
      <c r="AC4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144516.47999999998</v>
      </c>
      <c r="AD4" s="115">
        <f>IFERROR(ROUND((tblPiNHistorical[[#This Row],[CCCM - new]] - tblPiNHistorical[[#This Row],[CCCM - old]])/tblPiNHistorical[[#This Row],[CCCM - old]], 1), "")</f>
        <v>0.8</v>
      </c>
      <c r="AE4" s="104">
        <f>IFERROR(ROUND((tblPiNHistorical[[#This Row],[Education - new]]-tblPiNHistorical[[#This Row],[Education - old]])/tblPiNHistorical[[#This Row],[Education - old]], 1), "")</f>
        <v>-0.2</v>
      </c>
      <c r="AF4" s="104">
        <f>IFERROR(ROUND((tblPiNHistorical[[#This Row],[Nutrition - new]]-tblPiNHistorical[[#This Row],[Nutrition - old]])/tblPiNHistorical[[#This Row],[Nutrition - old]], 1), "")</f>
        <v>0</v>
      </c>
      <c r="AG4" s="104">
        <f>IFERROR(ROUND((tblPiNHistorical[[#This Row],[Food Security - new]]-tblPiNHistorical[[#This Row],[Food Security - old]])/tblPiNHistorical[[#This Row],[Food Security - old]], 1), "")</f>
        <v>0.2</v>
      </c>
      <c r="AH4" s="104">
        <f>IFERROR(ROUND((tblPiNHistorical[[#This Row],[Health - new]]-tblPiNHistorical[[#This Row],[Health - old]])/tblPiNHistorical[[#This Row],[Health - old]], 1), "")</f>
        <v>1.6</v>
      </c>
      <c r="AI4" s="104">
        <f>IFERROR(ROUND((tblPiNHistorical[[#This Row],[Overarching Protection - new]]-tblPiNHistorical[[#This Row],[Overarching Protection - old]])/tblPiNHistorical[[#This Row],[Overarching Protection - old]], 1), "")</f>
        <v>0.5</v>
      </c>
      <c r="AJ4" s="104">
        <f>IFERROR(ROUND((tblPiNHistorical[[#This Row],[Shelter - new]]-tblPiNHistorical[[#This Row],[Shelter - old]])/tblPiNHistorical[[#This Row],[Shelter - old]], 1), "")</f>
        <v>1.5</v>
      </c>
      <c r="AK4" s="116">
        <f>IFERROR(ROUND((tblPiNHistorical[[#This Row],[WASH - new]]-tblPiNHistorical[[#This Row],[WASH - old]])/tblPiNHistorical[[#This Row],[WASH - old]], 1), "")</f>
        <v>3.8</v>
      </c>
    </row>
    <row r="5" spans="1:51" s="80" customFormat="1" ht="17.649999999999999" customHeight="1" x14ac:dyDescent="0.25">
      <c r="A5" s="109" t="s">
        <v>347</v>
      </c>
      <c r="B5" s="65" t="s">
        <v>357</v>
      </c>
      <c r="C5" s="65" t="s">
        <v>233</v>
      </c>
      <c r="D5" s="40" t="s">
        <v>93</v>
      </c>
      <c r="E5" s="37">
        <v>460506</v>
      </c>
      <c r="F5" s="98">
        <v>11828</v>
      </c>
      <c r="G5" s="111">
        <v>48585.793546936162</v>
      </c>
      <c r="H5" s="111">
        <v>61204</v>
      </c>
      <c r="I5" s="111">
        <v>141639</v>
      </c>
      <c r="J5" s="111">
        <v>177375</v>
      </c>
      <c r="K5" s="111">
        <v>44409</v>
      </c>
      <c r="L5" s="112">
        <v>52603</v>
      </c>
      <c r="M5" s="111">
        <v>175417.88</v>
      </c>
      <c r="N5" s="98">
        <v>14145</v>
      </c>
      <c r="O5" s="101">
        <v>68800</v>
      </c>
      <c r="P5" s="99">
        <v>53505</v>
      </c>
      <c r="Q5" s="99">
        <v>120573</v>
      </c>
      <c r="R5" s="99">
        <v>61230</v>
      </c>
      <c r="S5" s="99">
        <v>51181</v>
      </c>
      <c r="T5" s="99">
        <v>35000</v>
      </c>
      <c r="U5" s="113">
        <v>58818</v>
      </c>
      <c r="V5" s="102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>2317</v>
      </c>
      <c r="W5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20214.206453063838</v>
      </c>
      <c r="X5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-7699</v>
      </c>
      <c r="Y5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-21066</v>
      </c>
      <c r="Z5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-116145</v>
      </c>
      <c r="AA5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6772</v>
      </c>
      <c r="AB5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-17603</v>
      </c>
      <c r="AC5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-116599.88</v>
      </c>
      <c r="AD5" s="115">
        <f>IFERROR(ROUND((tblPiNHistorical[[#This Row],[CCCM - new]] - tblPiNHistorical[[#This Row],[CCCM - old]])/tblPiNHistorical[[#This Row],[CCCM - old]], 1), "")</f>
        <v>0.2</v>
      </c>
      <c r="AE5" s="104">
        <f>IFERROR(ROUND((tblPiNHistorical[[#This Row],[Education - new]]-tblPiNHistorical[[#This Row],[Education - old]])/tblPiNHistorical[[#This Row],[Education - old]], 1), "")</f>
        <v>0.4</v>
      </c>
      <c r="AF5" s="104">
        <f>IFERROR(ROUND((tblPiNHistorical[[#This Row],[Nutrition - new]]-tblPiNHistorical[[#This Row],[Nutrition - old]])/tblPiNHistorical[[#This Row],[Nutrition - old]], 1), "")</f>
        <v>-0.1</v>
      </c>
      <c r="AG5" s="104">
        <f>IFERROR(ROUND((tblPiNHistorical[[#This Row],[Food Security - new]]-tblPiNHistorical[[#This Row],[Food Security - old]])/tblPiNHistorical[[#This Row],[Food Security - old]], 1), "")</f>
        <v>-0.1</v>
      </c>
      <c r="AH5" s="104">
        <f>IFERROR(ROUND((tblPiNHistorical[[#This Row],[Health - new]]-tblPiNHistorical[[#This Row],[Health - old]])/tblPiNHistorical[[#This Row],[Health - old]], 1), "")</f>
        <v>-0.7</v>
      </c>
      <c r="AI5" s="104">
        <f>IFERROR(ROUND((tblPiNHistorical[[#This Row],[Overarching Protection - new]]-tblPiNHistorical[[#This Row],[Overarching Protection - old]])/tblPiNHistorical[[#This Row],[Overarching Protection - old]], 1), "")</f>
        <v>0.2</v>
      </c>
      <c r="AJ5" s="104">
        <f>IFERROR(ROUND((tblPiNHistorical[[#This Row],[Shelter - new]]-tblPiNHistorical[[#This Row],[Shelter - old]])/tblPiNHistorical[[#This Row],[Shelter - old]], 1), "")</f>
        <v>-0.3</v>
      </c>
      <c r="AK5" s="116">
        <f>IFERROR(ROUND((tblPiNHistorical[[#This Row],[WASH - new]]-tblPiNHistorical[[#This Row],[WASH - old]])/tblPiNHistorical[[#This Row],[WASH - old]], 1), "")</f>
        <v>-0.7</v>
      </c>
    </row>
    <row r="6" spans="1:51" s="80" customFormat="1" ht="17.649999999999999" customHeight="1" x14ac:dyDescent="0.25">
      <c r="A6" s="109" t="s">
        <v>347</v>
      </c>
      <c r="B6" s="65" t="s">
        <v>357</v>
      </c>
      <c r="C6" s="65" t="s">
        <v>301</v>
      </c>
      <c r="D6" s="40" t="s">
        <v>161</v>
      </c>
      <c r="E6" s="37">
        <v>394895</v>
      </c>
      <c r="F6" s="98">
        <v>2710</v>
      </c>
      <c r="G6" s="111">
        <v>80618.107849374195</v>
      </c>
      <c r="H6" s="111">
        <v>27441</v>
      </c>
      <c r="I6" s="111">
        <v>88575</v>
      </c>
      <c r="J6" s="111">
        <v>114154</v>
      </c>
      <c r="K6" s="111">
        <v>49301</v>
      </c>
      <c r="L6" s="112">
        <v>48646</v>
      </c>
      <c r="M6" s="111">
        <v>61658.87</v>
      </c>
      <c r="N6" s="98">
        <v>6894</v>
      </c>
      <c r="O6" s="101">
        <v>39391</v>
      </c>
      <c r="P6" s="99">
        <v>37187</v>
      </c>
      <c r="Q6" s="99">
        <v>81775</v>
      </c>
      <c r="R6" s="99">
        <v>64415</v>
      </c>
      <c r="S6" s="99">
        <v>57727</v>
      </c>
      <c r="T6" s="99">
        <v>91635</v>
      </c>
      <c r="U6" s="113">
        <v>29406</v>
      </c>
      <c r="V6" s="102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>4184</v>
      </c>
      <c r="W6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-41227.107849374195</v>
      </c>
      <c r="X6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9746</v>
      </c>
      <c r="Y6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-6800</v>
      </c>
      <c r="Z6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-49739</v>
      </c>
      <c r="AA6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8426</v>
      </c>
      <c r="AB6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42989</v>
      </c>
      <c r="AC6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-32252.870000000003</v>
      </c>
      <c r="AD6" s="115">
        <f>IFERROR(ROUND((tblPiNHistorical[[#This Row],[CCCM - new]] - tblPiNHistorical[[#This Row],[CCCM - old]])/tblPiNHistorical[[#This Row],[CCCM - old]], 1), "")</f>
        <v>1.5</v>
      </c>
      <c r="AE6" s="104">
        <f>IFERROR(ROUND((tblPiNHistorical[[#This Row],[Education - new]]-tblPiNHistorical[[#This Row],[Education - old]])/tblPiNHistorical[[#This Row],[Education - old]], 1), "")</f>
        <v>-0.5</v>
      </c>
      <c r="AF6" s="104">
        <f>IFERROR(ROUND((tblPiNHistorical[[#This Row],[Nutrition - new]]-tblPiNHistorical[[#This Row],[Nutrition - old]])/tblPiNHistorical[[#This Row],[Nutrition - old]], 1), "")</f>
        <v>0.4</v>
      </c>
      <c r="AG6" s="104">
        <f>IFERROR(ROUND((tblPiNHistorical[[#This Row],[Food Security - new]]-tblPiNHistorical[[#This Row],[Food Security - old]])/tblPiNHistorical[[#This Row],[Food Security - old]], 1), "")</f>
        <v>-0.1</v>
      </c>
      <c r="AH6" s="104">
        <f>IFERROR(ROUND((tblPiNHistorical[[#This Row],[Health - new]]-tblPiNHistorical[[#This Row],[Health - old]])/tblPiNHistorical[[#This Row],[Health - old]], 1), "")</f>
        <v>-0.4</v>
      </c>
      <c r="AI6" s="104">
        <f>IFERROR(ROUND((tblPiNHistorical[[#This Row],[Overarching Protection - new]]-tblPiNHistorical[[#This Row],[Overarching Protection - old]])/tblPiNHistorical[[#This Row],[Overarching Protection - old]], 1), "")</f>
        <v>0.2</v>
      </c>
      <c r="AJ6" s="104">
        <f>IFERROR(ROUND((tblPiNHistorical[[#This Row],[Shelter - new]]-tblPiNHistorical[[#This Row],[Shelter - old]])/tblPiNHistorical[[#This Row],[Shelter - old]], 1), "")</f>
        <v>0.9</v>
      </c>
      <c r="AK6" s="116">
        <f>IFERROR(ROUND((tblPiNHistorical[[#This Row],[WASH - new]]-tblPiNHistorical[[#This Row],[WASH - old]])/tblPiNHistorical[[#This Row],[WASH - old]], 1), "")</f>
        <v>-0.5</v>
      </c>
    </row>
    <row r="7" spans="1:51" ht="17.649999999999999" customHeight="1" x14ac:dyDescent="0.25">
      <c r="A7" s="97" t="s">
        <v>347</v>
      </c>
      <c r="B7" s="65" t="s">
        <v>357</v>
      </c>
      <c r="C7" s="65" t="s">
        <v>272</v>
      </c>
      <c r="D7" s="40" t="s">
        <v>132</v>
      </c>
      <c r="E7" s="37">
        <v>63006</v>
      </c>
      <c r="F7" s="98">
        <v>142</v>
      </c>
      <c r="G7" s="99">
        <v>5516.9013282922933</v>
      </c>
      <c r="H7" s="99">
        <v>4240</v>
      </c>
      <c r="I7" s="99">
        <v>22973</v>
      </c>
      <c r="J7" s="99">
        <v>14724</v>
      </c>
      <c r="K7" s="99">
        <v>9961</v>
      </c>
      <c r="L7" s="100">
        <v>0</v>
      </c>
      <c r="M7" s="113">
        <v>11351.86</v>
      </c>
      <c r="N7" s="101">
        <v>281</v>
      </c>
      <c r="O7" s="101">
        <v>10346</v>
      </c>
      <c r="P7" s="99">
        <v>5878</v>
      </c>
      <c r="Q7" s="99">
        <v>25027</v>
      </c>
      <c r="R7" s="99">
        <v>13706</v>
      </c>
      <c r="S7" s="99">
        <v>13147</v>
      </c>
      <c r="T7" s="99">
        <v>0</v>
      </c>
      <c r="U7" s="99">
        <v>3229</v>
      </c>
      <c r="V7" s="102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>139</v>
      </c>
      <c r="W7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4829.0986717077067</v>
      </c>
      <c r="X7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1638</v>
      </c>
      <c r="Y7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2054</v>
      </c>
      <c r="Z7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-1018</v>
      </c>
      <c r="AA7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3186</v>
      </c>
      <c r="AB7" s="103" t="str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/>
      </c>
      <c r="AC7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-8122.8600000000006</v>
      </c>
      <c r="AD7" s="115">
        <f>IFERROR(ROUND((tblPiNHistorical[[#This Row],[CCCM - new]] - tblPiNHistorical[[#This Row],[CCCM - old]])/tblPiNHistorical[[#This Row],[CCCM - old]], 1), "")</f>
        <v>1</v>
      </c>
      <c r="AE7" s="104">
        <f>IFERROR(ROUND((tblPiNHistorical[[#This Row],[Education - new]]-tblPiNHistorical[[#This Row],[Education - old]])/tblPiNHistorical[[#This Row],[Education - old]], 1), "")</f>
        <v>0.9</v>
      </c>
      <c r="AF7" s="104">
        <f>IFERROR(ROUND((tblPiNHistorical[[#This Row],[Nutrition - new]]-tblPiNHistorical[[#This Row],[Nutrition - old]])/tblPiNHistorical[[#This Row],[Nutrition - old]], 1), "")</f>
        <v>0.4</v>
      </c>
      <c r="AG7" s="104">
        <f>IFERROR(ROUND((tblPiNHistorical[[#This Row],[Food Security - new]]-tblPiNHistorical[[#This Row],[Food Security - old]])/tblPiNHistorical[[#This Row],[Food Security - old]], 1), "")</f>
        <v>0.1</v>
      </c>
      <c r="AH7" s="104">
        <f>IFERROR(ROUND((tblPiNHistorical[[#This Row],[Health - new]]-tblPiNHistorical[[#This Row],[Health - old]])/tblPiNHistorical[[#This Row],[Health - old]], 1), "")</f>
        <v>-0.1</v>
      </c>
      <c r="AI7" s="104">
        <f>IFERROR(ROUND((tblPiNHistorical[[#This Row],[Overarching Protection - new]]-tblPiNHistorical[[#This Row],[Overarching Protection - old]])/tblPiNHistorical[[#This Row],[Overarching Protection - old]], 1), "")</f>
        <v>0.3</v>
      </c>
      <c r="AJ7" s="104" t="str">
        <f>IFERROR(ROUND((tblPiNHistorical[[#This Row],[Shelter - new]]-tblPiNHistorical[[#This Row],[Shelter - old]])/tblPiNHistorical[[#This Row],[Shelter - old]], 1), "")</f>
        <v/>
      </c>
      <c r="AK7" s="11">
        <f>IFERROR(ROUND((tblPiNHistorical[[#This Row],[WASH - new]]-tblPiNHistorical[[#This Row],[WASH - old]])/tblPiNHistorical[[#This Row],[WASH - old]], 1), "")</f>
        <v>-0.7</v>
      </c>
    </row>
    <row r="8" spans="1:51" ht="17.649999999999999" customHeight="1" x14ac:dyDescent="0.25">
      <c r="A8" s="97" t="s">
        <v>347</v>
      </c>
      <c r="B8" s="65" t="s">
        <v>357</v>
      </c>
      <c r="C8" s="65" t="s">
        <v>265</v>
      </c>
      <c r="D8" s="40" t="s">
        <v>125</v>
      </c>
      <c r="E8" s="37">
        <v>3987</v>
      </c>
      <c r="F8" s="98">
        <v>493</v>
      </c>
      <c r="G8" s="99">
        <v>9698.8972700212034</v>
      </c>
      <c r="H8" s="99">
        <v>2691</v>
      </c>
      <c r="I8" s="99">
        <v>16404</v>
      </c>
      <c r="J8" s="99">
        <v>36988</v>
      </c>
      <c r="K8" s="99">
        <v>18418</v>
      </c>
      <c r="L8" s="100">
        <v>0</v>
      </c>
      <c r="M8" s="113">
        <v>19956.95</v>
      </c>
      <c r="N8" s="101">
        <v>0</v>
      </c>
      <c r="O8" s="101">
        <v>621</v>
      </c>
      <c r="P8" s="99">
        <v>2224</v>
      </c>
      <c r="Q8" s="99">
        <v>17870</v>
      </c>
      <c r="R8" s="99">
        <v>1559</v>
      </c>
      <c r="S8" s="99">
        <v>2077</v>
      </c>
      <c r="T8" s="99">
        <v>0</v>
      </c>
      <c r="U8" s="99">
        <v>5668</v>
      </c>
      <c r="V8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8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-9077.8972700212034</v>
      </c>
      <c r="X8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-467</v>
      </c>
      <c r="Y8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1466</v>
      </c>
      <c r="Z8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-35429</v>
      </c>
      <c r="AA8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-16341</v>
      </c>
      <c r="AB8" s="103" t="str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/>
      </c>
      <c r="AC8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-14288.95</v>
      </c>
      <c r="AD8" s="115">
        <f>IFERROR(ROUND((tblPiNHistorical[[#This Row],[CCCM - new]] - tblPiNHistorical[[#This Row],[CCCM - old]])/tblPiNHistorical[[#This Row],[CCCM - old]], 1), "")</f>
        <v>-1</v>
      </c>
      <c r="AE8" s="104">
        <f>IFERROR(ROUND((tblPiNHistorical[[#This Row],[Education - new]]-tblPiNHistorical[[#This Row],[Education - old]])/tblPiNHistorical[[#This Row],[Education - old]], 1), "")</f>
        <v>-0.9</v>
      </c>
      <c r="AF8" s="104">
        <f>IFERROR(ROUND((tblPiNHistorical[[#This Row],[Nutrition - new]]-tblPiNHistorical[[#This Row],[Nutrition - old]])/tblPiNHistorical[[#This Row],[Nutrition - old]], 1), "")</f>
        <v>-0.2</v>
      </c>
      <c r="AG8" s="104">
        <f>IFERROR(ROUND((tblPiNHistorical[[#This Row],[Food Security - new]]-tblPiNHistorical[[#This Row],[Food Security - old]])/tblPiNHistorical[[#This Row],[Food Security - old]], 1), "")</f>
        <v>0.1</v>
      </c>
      <c r="AH8" s="104">
        <f>IFERROR(ROUND((tblPiNHistorical[[#This Row],[Health - new]]-tblPiNHistorical[[#This Row],[Health - old]])/tblPiNHistorical[[#This Row],[Health - old]], 1), "")</f>
        <v>-1</v>
      </c>
      <c r="AI8" s="104">
        <f>IFERROR(ROUND((tblPiNHistorical[[#This Row],[Overarching Protection - new]]-tblPiNHistorical[[#This Row],[Overarching Protection - old]])/tblPiNHistorical[[#This Row],[Overarching Protection - old]], 1), "")</f>
        <v>-0.9</v>
      </c>
      <c r="AJ8" s="104" t="str">
        <f>IFERROR(ROUND((tblPiNHistorical[[#This Row],[Shelter - new]]-tblPiNHistorical[[#This Row],[Shelter - old]])/tblPiNHistorical[[#This Row],[Shelter - old]], 1), "")</f>
        <v/>
      </c>
      <c r="AK8" s="11">
        <f>IFERROR(ROUND((tblPiNHistorical[[#This Row],[WASH - new]]-tblPiNHistorical[[#This Row],[WASH - old]])/tblPiNHistorical[[#This Row],[WASH - old]], 1), "")</f>
        <v>-0.7</v>
      </c>
    </row>
    <row r="9" spans="1:51" ht="17.649999999999999" customHeight="1" x14ac:dyDescent="0.25">
      <c r="A9" s="97" t="s">
        <v>347</v>
      </c>
      <c r="B9" s="65" t="s">
        <v>357</v>
      </c>
      <c r="C9" s="65" t="s">
        <v>242</v>
      </c>
      <c r="D9" s="40" t="s">
        <v>102</v>
      </c>
      <c r="E9" s="37">
        <v>287439</v>
      </c>
      <c r="F9" s="98">
        <v>16334</v>
      </c>
      <c r="G9" s="99">
        <v>27054.547190441375</v>
      </c>
      <c r="H9" s="99">
        <v>41172</v>
      </c>
      <c r="I9" s="99">
        <v>211268</v>
      </c>
      <c r="J9" s="99">
        <v>75249</v>
      </c>
      <c r="K9" s="99">
        <v>31096</v>
      </c>
      <c r="L9" s="100">
        <v>52361</v>
      </c>
      <c r="M9" s="113">
        <v>18908.240000000002</v>
      </c>
      <c r="N9" s="101">
        <v>6077</v>
      </c>
      <c r="O9" s="101">
        <v>57454</v>
      </c>
      <c r="P9" s="99">
        <v>34445</v>
      </c>
      <c r="Q9" s="99">
        <v>154679</v>
      </c>
      <c r="R9" s="99">
        <v>32826</v>
      </c>
      <c r="S9" s="99">
        <v>60691</v>
      </c>
      <c r="T9" s="99">
        <v>88798</v>
      </c>
      <c r="U9" s="99">
        <v>50859</v>
      </c>
      <c r="V9" s="102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>-10257</v>
      </c>
      <c r="W9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30399.452809558625</v>
      </c>
      <c r="X9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-6727</v>
      </c>
      <c r="Y9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-56589</v>
      </c>
      <c r="Z9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-42423</v>
      </c>
      <c r="AA9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29595</v>
      </c>
      <c r="AB9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36437</v>
      </c>
      <c r="AC9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31950.76</v>
      </c>
      <c r="AD9" s="115">
        <f>IFERROR(ROUND((tblPiNHistorical[[#This Row],[CCCM - new]] - tblPiNHistorical[[#This Row],[CCCM - old]])/tblPiNHistorical[[#This Row],[CCCM - old]], 1), "")</f>
        <v>-0.6</v>
      </c>
      <c r="AE9" s="104">
        <f>IFERROR(ROUND((tblPiNHistorical[[#This Row],[Education - new]]-tblPiNHistorical[[#This Row],[Education - old]])/tblPiNHistorical[[#This Row],[Education - old]], 1), "")</f>
        <v>1.1000000000000001</v>
      </c>
      <c r="AF9" s="104">
        <f>IFERROR(ROUND((tblPiNHistorical[[#This Row],[Nutrition - new]]-tblPiNHistorical[[#This Row],[Nutrition - old]])/tblPiNHistorical[[#This Row],[Nutrition - old]], 1), "")</f>
        <v>-0.2</v>
      </c>
      <c r="AG9" s="104">
        <f>IFERROR(ROUND((tblPiNHistorical[[#This Row],[Food Security - new]]-tblPiNHistorical[[#This Row],[Food Security - old]])/tblPiNHistorical[[#This Row],[Food Security - old]], 1), "")</f>
        <v>-0.3</v>
      </c>
      <c r="AH9" s="104">
        <f>IFERROR(ROUND((tblPiNHistorical[[#This Row],[Health - new]]-tblPiNHistorical[[#This Row],[Health - old]])/tblPiNHistorical[[#This Row],[Health - old]], 1), "")</f>
        <v>-0.6</v>
      </c>
      <c r="AI9" s="104">
        <f>IFERROR(ROUND((tblPiNHistorical[[#This Row],[Overarching Protection - new]]-tblPiNHistorical[[#This Row],[Overarching Protection - old]])/tblPiNHistorical[[#This Row],[Overarching Protection - old]], 1), "")</f>
        <v>1</v>
      </c>
      <c r="AJ9" s="104">
        <f>IFERROR(ROUND((tblPiNHistorical[[#This Row],[Shelter - new]]-tblPiNHistorical[[#This Row],[Shelter - old]])/tblPiNHistorical[[#This Row],[Shelter - old]], 1), "")</f>
        <v>0.7</v>
      </c>
      <c r="AK9" s="11">
        <f>IFERROR(ROUND((tblPiNHistorical[[#This Row],[WASH - new]]-tblPiNHistorical[[#This Row],[WASH - old]])/tblPiNHistorical[[#This Row],[WASH - old]], 1), "")</f>
        <v>1.7</v>
      </c>
    </row>
    <row r="10" spans="1:51" ht="17.649999999999999" customHeight="1" x14ac:dyDescent="0.25">
      <c r="A10" s="97" t="s">
        <v>347</v>
      </c>
      <c r="B10" s="65" t="s">
        <v>357</v>
      </c>
      <c r="C10" s="65" t="s">
        <v>330</v>
      </c>
      <c r="D10" s="40" t="s">
        <v>190</v>
      </c>
      <c r="E10" s="37">
        <v>141693</v>
      </c>
      <c r="F10" s="98">
        <v>6596</v>
      </c>
      <c r="G10" s="99">
        <v>38898.419269414495</v>
      </c>
      <c r="H10" s="99">
        <v>15594</v>
      </c>
      <c r="I10" s="99">
        <v>15778</v>
      </c>
      <c r="J10" s="99">
        <v>54323</v>
      </c>
      <c r="K10" s="99">
        <v>35218</v>
      </c>
      <c r="L10" s="100">
        <v>5966</v>
      </c>
      <c r="M10" s="113">
        <v>20747.09</v>
      </c>
      <c r="N10" s="101">
        <v>7362</v>
      </c>
      <c r="O10" s="101">
        <v>34195</v>
      </c>
      <c r="P10" s="99">
        <v>15429</v>
      </c>
      <c r="Q10" s="99">
        <v>24984</v>
      </c>
      <c r="R10" s="99">
        <v>40944</v>
      </c>
      <c r="S10" s="99">
        <v>30858</v>
      </c>
      <c r="T10" s="99">
        <v>43949</v>
      </c>
      <c r="U10" s="99">
        <v>24845</v>
      </c>
      <c r="V10" s="102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>766</v>
      </c>
      <c r="W10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-4703.4192694144949</v>
      </c>
      <c r="X10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-165</v>
      </c>
      <c r="Y10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9206</v>
      </c>
      <c r="Z10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-13379</v>
      </c>
      <c r="AA10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-4360</v>
      </c>
      <c r="AB10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37983</v>
      </c>
      <c r="AC10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4097.91</v>
      </c>
      <c r="AD10" s="115">
        <f>IFERROR(ROUND((tblPiNHistorical[[#This Row],[CCCM - new]] - tblPiNHistorical[[#This Row],[CCCM - old]])/tblPiNHistorical[[#This Row],[CCCM - old]], 1), "")</f>
        <v>0.1</v>
      </c>
      <c r="AE10" s="104">
        <f>IFERROR(ROUND((tblPiNHistorical[[#This Row],[Education - new]]-tblPiNHistorical[[#This Row],[Education - old]])/tblPiNHistorical[[#This Row],[Education - old]], 1), "")</f>
        <v>-0.1</v>
      </c>
      <c r="AF10" s="104">
        <f>IFERROR(ROUND((tblPiNHistorical[[#This Row],[Nutrition - new]]-tblPiNHistorical[[#This Row],[Nutrition - old]])/tblPiNHistorical[[#This Row],[Nutrition - old]], 1), "")</f>
        <v>0</v>
      </c>
      <c r="AG10" s="104">
        <f>IFERROR(ROUND((tblPiNHistorical[[#This Row],[Food Security - new]]-tblPiNHistorical[[#This Row],[Food Security - old]])/tblPiNHistorical[[#This Row],[Food Security - old]], 1), "")</f>
        <v>0.6</v>
      </c>
      <c r="AH10" s="104">
        <f>IFERROR(ROUND((tblPiNHistorical[[#This Row],[Health - new]]-tblPiNHistorical[[#This Row],[Health - old]])/tblPiNHistorical[[#This Row],[Health - old]], 1), "")</f>
        <v>-0.2</v>
      </c>
      <c r="AI10" s="104">
        <f>IFERROR(ROUND((tblPiNHistorical[[#This Row],[Overarching Protection - new]]-tblPiNHistorical[[#This Row],[Overarching Protection - old]])/tblPiNHistorical[[#This Row],[Overarching Protection - old]], 1), "")</f>
        <v>-0.1</v>
      </c>
      <c r="AJ10" s="104">
        <f>IFERROR(ROUND((tblPiNHistorical[[#This Row],[Shelter - new]]-tblPiNHistorical[[#This Row],[Shelter - old]])/tblPiNHistorical[[#This Row],[Shelter - old]], 1), "")</f>
        <v>6.4</v>
      </c>
      <c r="AK10" s="11">
        <f>IFERROR(ROUND((tblPiNHistorical[[#This Row],[WASH - new]]-tblPiNHistorical[[#This Row],[WASH - old]])/tblPiNHistorical[[#This Row],[WASH - old]], 1), "")</f>
        <v>0.2</v>
      </c>
    </row>
    <row r="11" spans="1:51" ht="17.649999999999999" customHeight="1" x14ac:dyDescent="0.25">
      <c r="A11" s="97" t="s">
        <v>347</v>
      </c>
      <c r="B11" s="65" t="s">
        <v>357</v>
      </c>
      <c r="C11" s="65" t="s">
        <v>280</v>
      </c>
      <c r="D11" s="40" t="s">
        <v>140</v>
      </c>
      <c r="E11" s="37">
        <v>233614</v>
      </c>
      <c r="F11" s="98">
        <v>70</v>
      </c>
      <c r="G11" s="99">
        <v>22296.123122019559</v>
      </c>
      <c r="H11" s="99">
        <v>14752</v>
      </c>
      <c r="I11" s="99">
        <v>89916</v>
      </c>
      <c r="J11" s="99">
        <v>155469</v>
      </c>
      <c r="K11" s="99">
        <v>40737</v>
      </c>
      <c r="L11" s="100">
        <v>42013</v>
      </c>
      <c r="M11" s="113">
        <v>82579.76999999999</v>
      </c>
      <c r="N11" s="101">
        <v>22466</v>
      </c>
      <c r="O11" s="101">
        <v>40217</v>
      </c>
      <c r="P11" s="99">
        <v>19839</v>
      </c>
      <c r="Q11" s="99">
        <v>97952</v>
      </c>
      <c r="R11" s="99">
        <v>82221</v>
      </c>
      <c r="S11" s="99">
        <v>58020</v>
      </c>
      <c r="T11" s="99">
        <v>98601</v>
      </c>
      <c r="U11" s="99">
        <v>56944</v>
      </c>
      <c r="V11" s="102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>22396</v>
      </c>
      <c r="W11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17920.876877980441</v>
      </c>
      <c r="X11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5087</v>
      </c>
      <c r="Y11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8036</v>
      </c>
      <c r="Z11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-73248</v>
      </c>
      <c r="AA11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17283</v>
      </c>
      <c r="AB11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56588</v>
      </c>
      <c r="AC11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-25635.76999999999</v>
      </c>
      <c r="AD11" s="115">
        <f>IFERROR(ROUND((tblPiNHistorical[[#This Row],[CCCM - new]] - tblPiNHistorical[[#This Row],[CCCM - old]])/tblPiNHistorical[[#This Row],[CCCM - old]], 1), "")</f>
        <v>319.89999999999998</v>
      </c>
      <c r="AE11" s="104">
        <f>IFERROR(ROUND((tblPiNHistorical[[#This Row],[Education - new]]-tblPiNHistorical[[#This Row],[Education - old]])/tblPiNHistorical[[#This Row],[Education - old]], 1), "")</f>
        <v>0.8</v>
      </c>
      <c r="AF11" s="104">
        <f>IFERROR(ROUND((tblPiNHistorical[[#This Row],[Nutrition - new]]-tblPiNHistorical[[#This Row],[Nutrition - old]])/tblPiNHistorical[[#This Row],[Nutrition - old]], 1), "")</f>
        <v>0.3</v>
      </c>
      <c r="AG11" s="104">
        <f>IFERROR(ROUND((tblPiNHistorical[[#This Row],[Food Security - new]]-tblPiNHistorical[[#This Row],[Food Security - old]])/tblPiNHistorical[[#This Row],[Food Security - old]], 1), "")</f>
        <v>0.1</v>
      </c>
      <c r="AH11" s="104">
        <f>IFERROR(ROUND((tblPiNHistorical[[#This Row],[Health - new]]-tblPiNHistorical[[#This Row],[Health - old]])/tblPiNHistorical[[#This Row],[Health - old]], 1), "")</f>
        <v>-0.5</v>
      </c>
      <c r="AI11" s="104">
        <f>IFERROR(ROUND((tblPiNHistorical[[#This Row],[Overarching Protection - new]]-tblPiNHistorical[[#This Row],[Overarching Protection - old]])/tblPiNHistorical[[#This Row],[Overarching Protection - old]], 1), "")</f>
        <v>0.4</v>
      </c>
      <c r="AJ11" s="104">
        <f>IFERROR(ROUND((tblPiNHistorical[[#This Row],[Shelter - new]]-tblPiNHistorical[[#This Row],[Shelter - old]])/tblPiNHistorical[[#This Row],[Shelter - old]], 1), "")</f>
        <v>1.3</v>
      </c>
      <c r="AK11" s="11">
        <f>IFERROR(ROUND((tblPiNHistorical[[#This Row],[WASH - new]]-tblPiNHistorical[[#This Row],[WASH - old]])/tblPiNHistorical[[#This Row],[WASH - old]], 1), "")</f>
        <v>-0.3</v>
      </c>
    </row>
    <row r="12" spans="1:51" ht="17.649999999999999" customHeight="1" x14ac:dyDescent="0.25">
      <c r="A12" s="97" t="s">
        <v>347</v>
      </c>
      <c r="B12" s="65" t="s">
        <v>357</v>
      </c>
      <c r="C12" s="65" t="s">
        <v>302</v>
      </c>
      <c r="D12" s="40" t="s">
        <v>162</v>
      </c>
      <c r="E12" s="37">
        <v>194867</v>
      </c>
      <c r="F12" s="98">
        <v>39</v>
      </c>
      <c r="G12" s="99">
        <v>10661.110769825278</v>
      </c>
      <c r="H12" s="99">
        <v>12770</v>
      </c>
      <c r="I12" s="99">
        <v>77834</v>
      </c>
      <c r="J12" s="99">
        <v>92433</v>
      </c>
      <c r="K12" s="99">
        <v>20158</v>
      </c>
      <c r="L12" s="100">
        <v>8437</v>
      </c>
      <c r="M12" s="113">
        <v>36086.11825</v>
      </c>
      <c r="N12" s="101">
        <v>11238</v>
      </c>
      <c r="O12" s="101">
        <v>33448</v>
      </c>
      <c r="P12" s="99">
        <v>14940</v>
      </c>
      <c r="Q12" s="99">
        <v>84791</v>
      </c>
      <c r="R12" s="99">
        <v>56424</v>
      </c>
      <c r="S12" s="99">
        <v>40671</v>
      </c>
      <c r="T12" s="99">
        <v>0</v>
      </c>
      <c r="U12" s="99">
        <v>34004</v>
      </c>
      <c r="V12" s="102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>11199</v>
      </c>
      <c r="W12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22786.889230174722</v>
      </c>
      <c r="X12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2170</v>
      </c>
      <c r="Y12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6957</v>
      </c>
      <c r="Z12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-36009</v>
      </c>
      <c r="AA12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20513</v>
      </c>
      <c r="AB12" s="103" t="str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/>
      </c>
      <c r="AC12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-2082.1182499999995</v>
      </c>
      <c r="AD12" s="115">
        <f>IFERROR(ROUND((tblPiNHistorical[[#This Row],[CCCM - new]] - tblPiNHistorical[[#This Row],[CCCM - old]])/tblPiNHistorical[[#This Row],[CCCM - old]], 1), "")</f>
        <v>287.2</v>
      </c>
      <c r="AE12" s="104">
        <f>IFERROR(ROUND((tblPiNHistorical[[#This Row],[Education - new]]-tblPiNHistorical[[#This Row],[Education - old]])/tblPiNHistorical[[#This Row],[Education - old]], 1), "")</f>
        <v>2.1</v>
      </c>
      <c r="AF12" s="104">
        <f>IFERROR(ROUND((tblPiNHistorical[[#This Row],[Nutrition - new]]-tblPiNHistorical[[#This Row],[Nutrition - old]])/tblPiNHistorical[[#This Row],[Nutrition - old]], 1), "")</f>
        <v>0.2</v>
      </c>
      <c r="AG12" s="104">
        <f>IFERROR(ROUND((tblPiNHistorical[[#This Row],[Food Security - new]]-tblPiNHistorical[[#This Row],[Food Security - old]])/tblPiNHistorical[[#This Row],[Food Security - old]], 1), "")</f>
        <v>0.1</v>
      </c>
      <c r="AH12" s="104">
        <f>IFERROR(ROUND((tblPiNHistorical[[#This Row],[Health - new]]-tblPiNHistorical[[#This Row],[Health - old]])/tblPiNHistorical[[#This Row],[Health - old]], 1), "")</f>
        <v>-0.4</v>
      </c>
      <c r="AI12" s="104">
        <f>IFERROR(ROUND((tblPiNHistorical[[#This Row],[Overarching Protection - new]]-tblPiNHistorical[[#This Row],[Overarching Protection - old]])/tblPiNHistorical[[#This Row],[Overarching Protection - old]], 1), "")</f>
        <v>1</v>
      </c>
      <c r="AJ12" s="104">
        <f>IFERROR(ROUND((tblPiNHistorical[[#This Row],[Shelter - new]]-tblPiNHistorical[[#This Row],[Shelter - old]])/tblPiNHistorical[[#This Row],[Shelter - old]], 1), "")</f>
        <v>-1</v>
      </c>
      <c r="AK12" s="11">
        <f>IFERROR(ROUND((tblPiNHistorical[[#This Row],[WASH - new]]-tblPiNHistorical[[#This Row],[WASH - old]])/tblPiNHistorical[[#This Row],[WASH - old]], 1), "")</f>
        <v>-0.1</v>
      </c>
    </row>
    <row r="13" spans="1:51" ht="17.649999999999999" customHeight="1" x14ac:dyDescent="0.25">
      <c r="A13" s="97" t="s">
        <v>347</v>
      </c>
      <c r="B13" s="65" t="s">
        <v>357</v>
      </c>
      <c r="C13" s="65" t="s">
        <v>261</v>
      </c>
      <c r="D13" s="40" t="s">
        <v>121</v>
      </c>
      <c r="E13" s="37">
        <v>157549</v>
      </c>
      <c r="F13" s="98">
        <v>398</v>
      </c>
      <c r="G13" s="99">
        <v>7197.9003164267033</v>
      </c>
      <c r="H13" s="99">
        <v>10078</v>
      </c>
      <c r="I13" s="99">
        <v>61426</v>
      </c>
      <c r="J13" s="99">
        <v>65443</v>
      </c>
      <c r="K13" s="99">
        <v>13152</v>
      </c>
      <c r="L13" s="100">
        <v>17089</v>
      </c>
      <c r="M13" s="113">
        <v>37482.641000000003</v>
      </c>
      <c r="N13" s="101">
        <v>12297</v>
      </c>
      <c r="O13" s="101">
        <v>26893</v>
      </c>
      <c r="P13" s="99">
        <v>12267</v>
      </c>
      <c r="Q13" s="99">
        <v>66916</v>
      </c>
      <c r="R13" s="99">
        <v>49954</v>
      </c>
      <c r="S13" s="99">
        <v>34674</v>
      </c>
      <c r="T13" s="99">
        <v>55024</v>
      </c>
      <c r="U13" s="99">
        <v>32155</v>
      </c>
      <c r="V13" s="102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>11899</v>
      </c>
      <c r="W13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19695.099683573295</v>
      </c>
      <c r="X13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2189</v>
      </c>
      <c r="Y13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5490</v>
      </c>
      <c r="Z13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-15489</v>
      </c>
      <c r="AA13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21522</v>
      </c>
      <c r="AB13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37935</v>
      </c>
      <c r="AC13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-5327.6410000000033</v>
      </c>
      <c r="AD13" s="115">
        <f>IFERROR(ROUND((tblPiNHistorical[[#This Row],[CCCM - new]] - tblPiNHistorical[[#This Row],[CCCM - old]])/tblPiNHistorical[[#This Row],[CCCM - old]], 1), "")</f>
        <v>29.9</v>
      </c>
      <c r="AE13" s="104">
        <f>IFERROR(ROUND((tblPiNHistorical[[#This Row],[Education - new]]-tblPiNHistorical[[#This Row],[Education - old]])/tblPiNHistorical[[#This Row],[Education - old]], 1), "")</f>
        <v>2.7</v>
      </c>
      <c r="AF13" s="104">
        <f>IFERROR(ROUND((tblPiNHistorical[[#This Row],[Nutrition - new]]-tblPiNHistorical[[#This Row],[Nutrition - old]])/tblPiNHistorical[[#This Row],[Nutrition - old]], 1), "")</f>
        <v>0.2</v>
      </c>
      <c r="AG13" s="104">
        <f>IFERROR(ROUND((tblPiNHistorical[[#This Row],[Food Security - new]]-tblPiNHistorical[[#This Row],[Food Security - old]])/tblPiNHistorical[[#This Row],[Food Security - old]], 1), "")</f>
        <v>0.1</v>
      </c>
      <c r="AH13" s="104">
        <f>IFERROR(ROUND((tblPiNHistorical[[#This Row],[Health - new]]-tblPiNHistorical[[#This Row],[Health - old]])/tblPiNHistorical[[#This Row],[Health - old]], 1), "")</f>
        <v>-0.2</v>
      </c>
      <c r="AI13" s="104">
        <f>IFERROR(ROUND((tblPiNHistorical[[#This Row],[Overarching Protection - new]]-tblPiNHistorical[[#This Row],[Overarching Protection - old]])/tblPiNHistorical[[#This Row],[Overarching Protection - old]], 1), "")</f>
        <v>1.6</v>
      </c>
      <c r="AJ13" s="104">
        <f>IFERROR(ROUND((tblPiNHistorical[[#This Row],[Shelter - new]]-tblPiNHistorical[[#This Row],[Shelter - old]])/tblPiNHistorical[[#This Row],[Shelter - old]], 1), "")</f>
        <v>2.2000000000000002</v>
      </c>
      <c r="AK13" s="11">
        <f>IFERROR(ROUND((tblPiNHistorical[[#This Row],[WASH - new]]-tblPiNHistorical[[#This Row],[WASH - old]])/tblPiNHistorical[[#This Row],[WASH - old]], 1), "")</f>
        <v>-0.1</v>
      </c>
    </row>
    <row r="14" spans="1:51" ht="17.649999999999999" customHeight="1" x14ac:dyDescent="0.25">
      <c r="A14" s="97" t="s">
        <v>347</v>
      </c>
      <c r="B14" s="65" t="s">
        <v>357</v>
      </c>
      <c r="C14" s="65" t="s">
        <v>247</v>
      </c>
      <c r="D14" s="40" t="s">
        <v>107</v>
      </c>
      <c r="E14" s="37">
        <v>129879</v>
      </c>
      <c r="F14" s="98">
        <v>7026</v>
      </c>
      <c r="G14" s="99">
        <v>146326.28407106706</v>
      </c>
      <c r="H14" s="99">
        <v>18430</v>
      </c>
      <c r="I14" s="99">
        <v>150780</v>
      </c>
      <c r="J14" s="99">
        <v>305638</v>
      </c>
      <c r="K14" s="99">
        <v>177331</v>
      </c>
      <c r="L14" s="100">
        <v>276525</v>
      </c>
      <c r="M14" s="113">
        <v>107844.62000000001</v>
      </c>
      <c r="N14" s="101">
        <v>6378</v>
      </c>
      <c r="O14" s="101">
        <v>22983</v>
      </c>
      <c r="P14" s="99">
        <v>64637</v>
      </c>
      <c r="Q14" s="99">
        <v>70407</v>
      </c>
      <c r="R14" s="99">
        <v>22712</v>
      </c>
      <c r="S14" s="99">
        <v>57266</v>
      </c>
      <c r="T14" s="99">
        <v>35853</v>
      </c>
      <c r="U14" s="99">
        <v>29382</v>
      </c>
      <c r="V14" s="102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>-648</v>
      </c>
      <c r="W14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-123343.28407106706</v>
      </c>
      <c r="X14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46207</v>
      </c>
      <c r="Y14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-80373</v>
      </c>
      <c r="Z14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-282926</v>
      </c>
      <c r="AA14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-120065</v>
      </c>
      <c r="AB14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-240672</v>
      </c>
      <c r="AC14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-78462.62000000001</v>
      </c>
      <c r="AD14" s="115">
        <f>IFERROR(ROUND((tblPiNHistorical[[#This Row],[CCCM - new]] - tblPiNHistorical[[#This Row],[CCCM - old]])/tblPiNHistorical[[#This Row],[CCCM - old]], 1), "")</f>
        <v>-0.1</v>
      </c>
      <c r="AE14" s="104">
        <f>IFERROR(ROUND((tblPiNHistorical[[#This Row],[Education - new]]-tblPiNHistorical[[#This Row],[Education - old]])/tblPiNHistorical[[#This Row],[Education - old]], 1), "")</f>
        <v>-0.8</v>
      </c>
      <c r="AF14" s="104">
        <f>IFERROR(ROUND((tblPiNHistorical[[#This Row],[Nutrition - new]]-tblPiNHistorical[[#This Row],[Nutrition - old]])/tblPiNHistorical[[#This Row],[Nutrition - old]], 1), "")</f>
        <v>2.5</v>
      </c>
      <c r="AG14" s="104">
        <f>IFERROR(ROUND((tblPiNHistorical[[#This Row],[Food Security - new]]-tblPiNHistorical[[#This Row],[Food Security - old]])/tblPiNHistorical[[#This Row],[Food Security - old]], 1), "")</f>
        <v>-0.5</v>
      </c>
      <c r="AH14" s="104">
        <f>IFERROR(ROUND((tblPiNHistorical[[#This Row],[Health - new]]-tblPiNHistorical[[#This Row],[Health - old]])/tblPiNHistorical[[#This Row],[Health - old]], 1), "")</f>
        <v>-0.9</v>
      </c>
      <c r="AI14" s="104">
        <f>IFERROR(ROUND((tblPiNHistorical[[#This Row],[Overarching Protection - new]]-tblPiNHistorical[[#This Row],[Overarching Protection - old]])/tblPiNHistorical[[#This Row],[Overarching Protection - old]], 1), "")</f>
        <v>-0.7</v>
      </c>
      <c r="AJ14" s="104">
        <f>IFERROR(ROUND((tblPiNHistorical[[#This Row],[Shelter - new]]-tblPiNHistorical[[#This Row],[Shelter - old]])/tblPiNHistorical[[#This Row],[Shelter - old]], 1), "")</f>
        <v>-0.9</v>
      </c>
      <c r="AK14" s="11">
        <f>IFERROR(ROUND((tblPiNHistorical[[#This Row],[WASH - new]]-tblPiNHistorical[[#This Row],[WASH - old]])/tblPiNHistorical[[#This Row],[WASH - old]], 1), "")</f>
        <v>-0.7</v>
      </c>
    </row>
    <row r="15" spans="1:51" ht="17.649999999999999" customHeight="1" x14ac:dyDescent="0.25">
      <c r="A15" s="97" t="s">
        <v>347</v>
      </c>
      <c r="B15" s="65" t="s">
        <v>357</v>
      </c>
      <c r="C15" s="65" t="s">
        <v>335</v>
      </c>
      <c r="D15" s="40" t="s">
        <v>195</v>
      </c>
      <c r="E15" s="37">
        <v>54753</v>
      </c>
      <c r="F15" s="98">
        <v>892</v>
      </c>
      <c r="G15" s="99">
        <v>7586.2605517054735</v>
      </c>
      <c r="H15" s="99">
        <v>3910</v>
      </c>
      <c r="I15" s="99">
        <v>23832</v>
      </c>
      <c r="J15" s="99">
        <v>42565</v>
      </c>
      <c r="K15" s="99">
        <v>24709</v>
      </c>
      <c r="L15" s="100">
        <v>0</v>
      </c>
      <c r="M15" s="113">
        <v>15609.880000000001</v>
      </c>
      <c r="N15" s="101">
        <v>285</v>
      </c>
      <c r="O15" s="101">
        <v>8888</v>
      </c>
      <c r="P15" s="99">
        <v>6102</v>
      </c>
      <c r="Q15" s="99">
        <v>25962</v>
      </c>
      <c r="R15" s="99">
        <v>12865</v>
      </c>
      <c r="S15" s="99">
        <v>16342</v>
      </c>
      <c r="T15" s="99">
        <v>0</v>
      </c>
      <c r="U15" s="99">
        <v>8856</v>
      </c>
      <c r="V15" s="102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>-607</v>
      </c>
      <c r="W15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1301.7394482945265</v>
      </c>
      <c r="X15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2192</v>
      </c>
      <c r="Y15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2130</v>
      </c>
      <c r="Z15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-29700</v>
      </c>
      <c r="AA15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-8367</v>
      </c>
      <c r="AB15" s="103" t="str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/>
      </c>
      <c r="AC15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-6753.880000000001</v>
      </c>
      <c r="AD15" s="115">
        <f>IFERROR(ROUND((tblPiNHistorical[[#This Row],[CCCM - new]] - tblPiNHistorical[[#This Row],[CCCM - old]])/tblPiNHistorical[[#This Row],[CCCM - old]], 1), "")</f>
        <v>-0.7</v>
      </c>
      <c r="AE15" s="104">
        <f>IFERROR(ROUND((tblPiNHistorical[[#This Row],[Education - new]]-tblPiNHistorical[[#This Row],[Education - old]])/tblPiNHistorical[[#This Row],[Education - old]], 1), "")</f>
        <v>0.2</v>
      </c>
      <c r="AF15" s="104">
        <f>IFERROR(ROUND((tblPiNHistorical[[#This Row],[Nutrition - new]]-tblPiNHistorical[[#This Row],[Nutrition - old]])/tblPiNHistorical[[#This Row],[Nutrition - old]], 1), "")</f>
        <v>0.6</v>
      </c>
      <c r="AG15" s="104">
        <f>IFERROR(ROUND((tblPiNHistorical[[#This Row],[Food Security - new]]-tblPiNHistorical[[#This Row],[Food Security - old]])/tblPiNHistorical[[#This Row],[Food Security - old]], 1), "")</f>
        <v>0.1</v>
      </c>
      <c r="AH15" s="104">
        <f>IFERROR(ROUND((tblPiNHistorical[[#This Row],[Health - new]]-tblPiNHistorical[[#This Row],[Health - old]])/tblPiNHistorical[[#This Row],[Health - old]], 1), "")</f>
        <v>-0.7</v>
      </c>
      <c r="AI15" s="104">
        <f>IFERROR(ROUND((tblPiNHistorical[[#This Row],[Overarching Protection - new]]-tblPiNHistorical[[#This Row],[Overarching Protection - old]])/tblPiNHistorical[[#This Row],[Overarching Protection - old]], 1), "")</f>
        <v>-0.3</v>
      </c>
      <c r="AJ15" s="104" t="str">
        <f>IFERROR(ROUND((tblPiNHistorical[[#This Row],[Shelter - new]]-tblPiNHistorical[[#This Row],[Shelter - old]])/tblPiNHistorical[[#This Row],[Shelter - old]], 1), "")</f>
        <v/>
      </c>
      <c r="AK15" s="11">
        <f>IFERROR(ROUND((tblPiNHistorical[[#This Row],[WASH - new]]-tblPiNHistorical[[#This Row],[WASH - old]])/tblPiNHistorical[[#This Row],[WASH - old]], 1), "")</f>
        <v>-0.4</v>
      </c>
    </row>
    <row r="16" spans="1:51" ht="17.649999999999999" customHeight="1" x14ac:dyDescent="0.25">
      <c r="A16" s="97" t="s">
        <v>347</v>
      </c>
      <c r="B16" s="65" t="s">
        <v>357</v>
      </c>
      <c r="C16" s="65" t="s">
        <v>258</v>
      </c>
      <c r="D16" s="40" t="s">
        <v>118</v>
      </c>
      <c r="E16" s="37">
        <v>65036</v>
      </c>
      <c r="F16" s="98">
        <v>1875</v>
      </c>
      <c r="G16" s="99">
        <v>8055.8687555166161</v>
      </c>
      <c r="H16" s="99">
        <v>4617</v>
      </c>
      <c r="I16" s="99">
        <v>28141</v>
      </c>
      <c r="J16" s="99">
        <v>56335</v>
      </c>
      <c r="K16" s="99">
        <v>14994</v>
      </c>
      <c r="L16" s="100">
        <v>0</v>
      </c>
      <c r="M16" s="113">
        <v>16576.170000000002</v>
      </c>
      <c r="N16" s="101">
        <v>15873</v>
      </c>
      <c r="O16" s="101">
        <v>10820</v>
      </c>
      <c r="P16" s="99">
        <v>12913</v>
      </c>
      <c r="Q16" s="99">
        <v>30655</v>
      </c>
      <c r="R16" s="99">
        <v>39062</v>
      </c>
      <c r="S16" s="99">
        <v>16469</v>
      </c>
      <c r="T16" s="99">
        <v>15000</v>
      </c>
      <c r="U16" s="99">
        <v>38172</v>
      </c>
      <c r="V16" s="102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>13998</v>
      </c>
      <c r="W16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2764.1312444833839</v>
      </c>
      <c r="X16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8296</v>
      </c>
      <c r="Y16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2514</v>
      </c>
      <c r="Z16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-17273</v>
      </c>
      <c r="AA16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1475</v>
      </c>
      <c r="AB16" s="103" t="str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/>
      </c>
      <c r="AC16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21595.829999999998</v>
      </c>
      <c r="AD16" s="115">
        <f>IFERROR(ROUND((tblPiNHistorical[[#This Row],[CCCM - new]] - tblPiNHistorical[[#This Row],[CCCM - old]])/tblPiNHistorical[[#This Row],[CCCM - old]], 1), "")</f>
        <v>7.5</v>
      </c>
      <c r="AE16" s="104">
        <f>IFERROR(ROUND((tblPiNHistorical[[#This Row],[Education - new]]-tblPiNHistorical[[#This Row],[Education - old]])/tblPiNHistorical[[#This Row],[Education - old]], 1), "")</f>
        <v>0.3</v>
      </c>
      <c r="AF16" s="104">
        <f>IFERROR(ROUND((tblPiNHistorical[[#This Row],[Nutrition - new]]-tblPiNHistorical[[#This Row],[Nutrition - old]])/tblPiNHistorical[[#This Row],[Nutrition - old]], 1), "")</f>
        <v>1.8</v>
      </c>
      <c r="AG16" s="104">
        <f>IFERROR(ROUND((tblPiNHistorical[[#This Row],[Food Security - new]]-tblPiNHistorical[[#This Row],[Food Security - old]])/tblPiNHistorical[[#This Row],[Food Security - old]], 1), "")</f>
        <v>0.1</v>
      </c>
      <c r="AH16" s="104">
        <f>IFERROR(ROUND((tblPiNHistorical[[#This Row],[Health - new]]-tblPiNHistorical[[#This Row],[Health - old]])/tblPiNHistorical[[#This Row],[Health - old]], 1), "")</f>
        <v>-0.3</v>
      </c>
      <c r="AI16" s="104">
        <f>IFERROR(ROUND((tblPiNHistorical[[#This Row],[Overarching Protection - new]]-tblPiNHistorical[[#This Row],[Overarching Protection - old]])/tblPiNHistorical[[#This Row],[Overarching Protection - old]], 1), "")</f>
        <v>0.1</v>
      </c>
      <c r="AJ16" s="104" t="str">
        <f>IFERROR(ROUND((tblPiNHistorical[[#This Row],[Shelter - new]]-tblPiNHistorical[[#This Row],[Shelter - old]])/tblPiNHistorical[[#This Row],[Shelter - old]], 1), "")</f>
        <v/>
      </c>
      <c r="AK16" s="11">
        <f>IFERROR(ROUND((tblPiNHistorical[[#This Row],[WASH - new]]-tblPiNHistorical[[#This Row],[WASH - old]])/tblPiNHistorical[[#This Row],[WASH - old]], 1), "")</f>
        <v>1.3</v>
      </c>
    </row>
    <row r="17" spans="1:37" ht="17.649999999999999" customHeight="1" x14ac:dyDescent="0.25">
      <c r="A17" s="97" t="s">
        <v>347</v>
      </c>
      <c r="B17" s="65" t="s">
        <v>357</v>
      </c>
      <c r="C17" s="65" t="s">
        <v>244</v>
      </c>
      <c r="D17" s="40" t="s">
        <v>104</v>
      </c>
      <c r="E17" s="37">
        <v>66185</v>
      </c>
      <c r="F17" s="98">
        <v>5310</v>
      </c>
      <c r="G17" s="99">
        <v>3294.3334550416284</v>
      </c>
      <c r="H17" s="99">
        <v>5572</v>
      </c>
      <c r="I17" s="99">
        <v>26847</v>
      </c>
      <c r="J17" s="99">
        <v>18822</v>
      </c>
      <c r="K17" s="99">
        <v>6845</v>
      </c>
      <c r="L17" s="100">
        <v>0</v>
      </c>
      <c r="M17" s="113">
        <v>6778.59</v>
      </c>
      <c r="N17" s="101">
        <v>1391</v>
      </c>
      <c r="O17" s="101">
        <v>12367</v>
      </c>
      <c r="P17" s="99">
        <v>5826</v>
      </c>
      <c r="Q17" s="99">
        <v>29246</v>
      </c>
      <c r="R17" s="99">
        <v>31519</v>
      </c>
      <c r="S17" s="99">
        <v>16224</v>
      </c>
      <c r="T17" s="99">
        <v>0</v>
      </c>
      <c r="U17" s="99">
        <v>6976</v>
      </c>
      <c r="V17" s="102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>-3919</v>
      </c>
      <c r="W17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9072.6665449583707</v>
      </c>
      <c r="X17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254</v>
      </c>
      <c r="Y17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2399</v>
      </c>
      <c r="Z17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12697</v>
      </c>
      <c r="AA17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9379</v>
      </c>
      <c r="AB17" s="103" t="str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/>
      </c>
      <c r="AC17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197.40999999999985</v>
      </c>
      <c r="AD17" s="115">
        <f>IFERROR(ROUND((tblPiNHistorical[[#This Row],[CCCM - new]] - tblPiNHistorical[[#This Row],[CCCM - old]])/tblPiNHistorical[[#This Row],[CCCM - old]], 1), "")</f>
        <v>-0.7</v>
      </c>
      <c r="AE17" s="104">
        <f>IFERROR(ROUND((tblPiNHistorical[[#This Row],[Education - new]]-tblPiNHistorical[[#This Row],[Education - old]])/tblPiNHistorical[[#This Row],[Education - old]], 1), "")</f>
        <v>2.8</v>
      </c>
      <c r="AF17" s="104">
        <f>IFERROR(ROUND((tblPiNHistorical[[#This Row],[Nutrition - new]]-tblPiNHistorical[[#This Row],[Nutrition - old]])/tblPiNHistorical[[#This Row],[Nutrition - old]], 1), "")</f>
        <v>0</v>
      </c>
      <c r="AG17" s="104">
        <f>IFERROR(ROUND((tblPiNHistorical[[#This Row],[Food Security - new]]-tblPiNHistorical[[#This Row],[Food Security - old]])/tblPiNHistorical[[#This Row],[Food Security - old]], 1), "")</f>
        <v>0.1</v>
      </c>
      <c r="AH17" s="104">
        <f>IFERROR(ROUND((tblPiNHistorical[[#This Row],[Health - new]]-tblPiNHistorical[[#This Row],[Health - old]])/tblPiNHistorical[[#This Row],[Health - old]], 1), "")</f>
        <v>0.7</v>
      </c>
      <c r="AI17" s="104">
        <f>IFERROR(ROUND((tblPiNHistorical[[#This Row],[Overarching Protection - new]]-tblPiNHistorical[[#This Row],[Overarching Protection - old]])/tblPiNHistorical[[#This Row],[Overarching Protection - old]], 1), "")</f>
        <v>1.4</v>
      </c>
      <c r="AJ17" s="104" t="str">
        <f>IFERROR(ROUND((tblPiNHistorical[[#This Row],[Shelter - new]]-tblPiNHistorical[[#This Row],[Shelter - old]])/tblPiNHistorical[[#This Row],[Shelter - old]], 1), "")</f>
        <v/>
      </c>
      <c r="AK17" s="11">
        <f>IFERROR(ROUND((tblPiNHistorical[[#This Row],[WASH - new]]-tblPiNHistorical[[#This Row],[WASH - old]])/tblPiNHistorical[[#This Row],[WASH - old]], 1), "")</f>
        <v>0</v>
      </c>
    </row>
    <row r="18" spans="1:37" ht="17.649999999999999" customHeight="1" x14ac:dyDescent="0.25">
      <c r="A18" s="97" t="s">
        <v>347</v>
      </c>
      <c r="B18" s="65" t="s">
        <v>357</v>
      </c>
      <c r="C18" s="65" t="s">
        <v>255</v>
      </c>
      <c r="D18" s="40" t="s">
        <v>115</v>
      </c>
      <c r="E18" s="37">
        <v>54717</v>
      </c>
      <c r="F18" s="98">
        <v>220</v>
      </c>
      <c r="G18" s="99">
        <v>4399.3310986117731</v>
      </c>
      <c r="H18" s="99">
        <v>3693</v>
      </c>
      <c r="I18" s="99">
        <v>20009</v>
      </c>
      <c r="J18" s="99">
        <v>41115</v>
      </c>
      <c r="K18" s="99">
        <v>9810</v>
      </c>
      <c r="L18" s="100">
        <v>10670</v>
      </c>
      <c r="M18" s="113">
        <v>21328.587900000002</v>
      </c>
      <c r="N18" s="101">
        <v>0</v>
      </c>
      <c r="O18" s="101">
        <v>10517</v>
      </c>
      <c r="P18" s="99">
        <v>7193</v>
      </c>
      <c r="Q18" s="99">
        <v>21798</v>
      </c>
      <c r="R18" s="99">
        <v>14123</v>
      </c>
      <c r="S18" s="99">
        <v>11159</v>
      </c>
      <c r="T18" s="99">
        <v>17680</v>
      </c>
      <c r="U18" s="99">
        <v>4715</v>
      </c>
      <c r="V18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18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6117.6689013882269</v>
      </c>
      <c r="X18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3500</v>
      </c>
      <c r="Y18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1789</v>
      </c>
      <c r="Z18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-26992</v>
      </c>
      <c r="AA18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1349</v>
      </c>
      <c r="AB18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7010</v>
      </c>
      <c r="AC18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-16613.587900000002</v>
      </c>
      <c r="AD18" s="115">
        <f>IFERROR(ROUND((tblPiNHistorical[[#This Row],[CCCM - new]] - tblPiNHistorical[[#This Row],[CCCM - old]])/tblPiNHistorical[[#This Row],[CCCM - old]], 1), "")</f>
        <v>-1</v>
      </c>
      <c r="AE18" s="104">
        <f>IFERROR(ROUND((tblPiNHistorical[[#This Row],[Education - new]]-tblPiNHistorical[[#This Row],[Education - old]])/tblPiNHistorical[[#This Row],[Education - old]], 1), "")</f>
        <v>1.4</v>
      </c>
      <c r="AF18" s="104">
        <f>IFERROR(ROUND((tblPiNHistorical[[#This Row],[Nutrition - new]]-tblPiNHistorical[[#This Row],[Nutrition - old]])/tblPiNHistorical[[#This Row],[Nutrition - old]], 1), "")</f>
        <v>0.9</v>
      </c>
      <c r="AG18" s="104">
        <f>IFERROR(ROUND((tblPiNHistorical[[#This Row],[Food Security - new]]-tblPiNHistorical[[#This Row],[Food Security - old]])/tblPiNHistorical[[#This Row],[Food Security - old]], 1), "")</f>
        <v>0.1</v>
      </c>
      <c r="AH18" s="104">
        <f>IFERROR(ROUND((tblPiNHistorical[[#This Row],[Health - new]]-tblPiNHistorical[[#This Row],[Health - old]])/tblPiNHistorical[[#This Row],[Health - old]], 1), "")</f>
        <v>-0.7</v>
      </c>
      <c r="AI18" s="104">
        <f>IFERROR(ROUND((tblPiNHistorical[[#This Row],[Overarching Protection - new]]-tblPiNHistorical[[#This Row],[Overarching Protection - old]])/tblPiNHistorical[[#This Row],[Overarching Protection - old]], 1), "")</f>
        <v>0.1</v>
      </c>
      <c r="AJ18" s="104">
        <f>IFERROR(ROUND((tblPiNHistorical[[#This Row],[Shelter - new]]-tblPiNHistorical[[#This Row],[Shelter - old]])/tblPiNHistorical[[#This Row],[Shelter - old]], 1), "")</f>
        <v>0.7</v>
      </c>
      <c r="AK18" s="11">
        <f>IFERROR(ROUND((tblPiNHistorical[[#This Row],[WASH - new]]-tblPiNHistorical[[#This Row],[WASH - old]])/tblPiNHistorical[[#This Row],[WASH - old]], 1), "")</f>
        <v>-0.8</v>
      </c>
    </row>
    <row r="19" spans="1:37" ht="17.649999999999999" customHeight="1" x14ac:dyDescent="0.25">
      <c r="A19" s="97" t="s">
        <v>347</v>
      </c>
      <c r="B19" s="65" t="s">
        <v>357</v>
      </c>
      <c r="C19" s="65" t="s">
        <v>211</v>
      </c>
      <c r="D19" s="40" t="s">
        <v>71</v>
      </c>
      <c r="E19" s="37">
        <v>142752</v>
      </c>
      <c r="F19" s="98">
        <v>176</v>
      </c>
      <c r="G19" s="99">
        <v>11403.841032707533</v>
      </c>
      <c r="H19" s="99">
        <v>9621</v>
      </c>
      <c r="I19" s="99">
        <v>58638</v>
      </c>
      <c r="J19" s="99">
        <v>51846</v>
      </c>
      <c r="K19" s="99">
        <v>22688</v>
      </c>
      <c r="L19" s="100" t="s">
        <v>363</v>
      </c>
      <c r="M19" s="113">
        <v>36713.903400000003</v>
      </c>
      <c r="N19" s="101">
        <v>18480</v>
      </c>
      <c r="O19" s="101">
        <v>26093</v>
      </c>
      <c r="P19" s="99">
        <v>12712</v>
      </c>
      <c r="Q19" s="99">
        <v>56781</v>
      </c>
      <c r="R19" s="99">
        <v>56608</v>
      </c>
      <c r="S19" s="99">
        <v>24861</v>
      </c>
      <c r="T19" s="99">
        <v>12320</v>
      </c>
      <c r="U19" s="99">
        <v>53098</v>
      </c>
      <c r="V19" s="102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>18304</v>
      </c>
      <c r="W19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14689.158967292467</v>
      </c>
      <c r="X19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3091</v>
      </c>
      <c r="Y19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-1857</v>
      </c>
      <c r="Z19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4762</v>
      </c>
      <c r="AA19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2173</v>
      </c>
      <c r="AB19" s="103" t="e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#VALUE!</v>
      </c>
      <c r="AC19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16384.096599999997</v>
      </c>
      <c r="AD19" s="115">
        <f>IFERROR(ROUND((tblPiNHistorical[[#This Row],[CCCM - new]] - tblPiNHistorical[[#This Row],[CCCM - old]])/tblPiNHistorical[[#This Row],[CCCM - old]], 1), "")</f>
        <v>104</v>
      </c>
      <c r="AE19" s="104">
        <f>IFERROR(ROUND((tblPiNHistorical[[#This Row],[Education - new]]-tblPiNHistorical[[#This Row],[Education - old]])/tblPiNHistorical[[#This Row],[Education - old]], 1), "")</f>
        <v>1.3</v>
      </c>
      <c r="AF19" s="104">
        <f>IFERROR(ROUND((tblPiNHistorical[[#This Row],[Nutrition - new]]-tblPiNHistorical[[#This Row],[Nutrition - old]])/tblPiNHistorical[[#This Row],[Nutrition - old]], 1), "")</f>
        <v>0.3</v>
      </c>
      <c r="AG19" s="104">
        <f>IFERROR(ROUND((tblPiNHistorical[[#This Row],[Food Security - new]]-tblPiNHistorical[[#This Row],[Food Security - old]])/tblPiNHistorical[[#This Row],[Food Security - old]], 1), "")</f>
        <v>0</v>
      </c>
      <c r="AH19" s="104">
        <f>IFERROR(ROUND((tblPiNHistorical[[#This Row],[Health - new]]-tblPiNHistorical[[#This Row],[Health - old]])/tblPiNHistorical[[#This Row],[Health - old]], 1), "")</f>
        <v>0.1</v>
      </c>
      <c r="AI19" s="104">
        <f>IFERROR(ROUND((tblPiNHistorical[[#This Row],[Overarching Protection - new]]-tblPiNHistorical[[#This Row],[Overarching Protection - old]])/tblPiNHistorical[[#This Row],[Overarching Protection - old]], 1), "")</f>
        <v>0.1</v>
      </c>
      <c r="AJ19" s="104" t="str">
        <f>IFERROR(ROUND((tblPiNHistorical[[#This Row],[Shelter - new]]-tblPiNHistorical[[#This Row],[Shelter - old]])/tblPiNHistorical[[#This Row],[Shelter - old]], 1), "")</f>
        <v/>
      </c>
      <c r="AK19" s="11">
        <f>IFERROR(ROUND((tblPiNHistorical[[#This Row],[WASH - new]]-tblPiNHistorical[[#This Row],[WASH - old]])/tblPiNHistorical[[#This Row],[WASH - old]], 1), "")</f>
        <v>0.4</v>
      </c>
    </row>
    <row r="20" spans="1:37" ht="17.649999999999999" customHeight="1" x14ac:dyDescent="0.25">
      <c r="A20" s="97" t="s">
        <v>347</v>
      </c>
      <c r="B20" s="65" t="s">
        <v>357</v>
      </c>
      <c r="C20" s="65" t="s">
        <v>227</v>
      </c>
      <c r="D20" s="40" t="s">
        <v>87</v>
      </c>
      <c r="E20" s="37">
        <v>65302</v>
      </c>
      <c r="F20" s="98">
        <v>0</v>
      </c>
      <c r="G20" s="99">
        <v>9844.5876397223328</v>
      </c>
      <c r="H20" s="99">
        <v>5039</v>
      </c>
      <c r="I20" s="99">
        <v>30711</v>
      </c>
      <c r="J20" s="99">
        <v>64448</v>
      </c>
      <c r="K20" s="99">
        <v>19922</v>
      </c>
      <c r="L20" s="100">
        <v>23373</v>
      </c>
      <c r="M20" s="113">
        <v>23201.746899999995</v>
      </c>
      <c r="N20" s="101">
        <v>15545</v>
      </c>
      <c r="O20" s="101">
        <v>11473</v>
      </c>
      <c r="P20" s="99">
        <v>9318</v>
      </c>
      <c r="Q20" s="99">
        <v>29738</v>
      </c>
      <c r="R20" s="99">
        <v>37070</v>
      </c>
      <c r="S20" s="99">
        <v>22927</v>
      </c>
      <c r="T20" s="99">
        <v>10363</v>
      </c>
      <c r="U20" s="99">
        <v>46835</v>
      </c>
      <c r="V20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20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1628.4123602776672</v>
      </c>
      <c r="X20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4279</v>
      </c>
      <c r="Y20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-973</v>
      </c>
      <c r="Z20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-27378</v>
      </c>
      <c r="AA20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3005</v>
      </c>
      <c r="AB20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-13010</v>
      </c>
      <c r="AC20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23633.253100000005</v>
      </c>
      <c r="AD20" s="115" t="str">
        <f>IFERROR(ROUND((tblPiNHistorical[[#This Row],[CCCM - new]] - tblPiNHistorical[[#This Row],[CCCM - old]])/tblPiNHistorical[[#This Row],[CCCM - old]], 1), "")</f>
        <v/>
      </c>
      <c r="AE20" s="104">
        <f>IFERROR(ROUND((tblPiNHistorical[[#This Row],[Education - new]]-tblPiNHistorical[[#This Row],[Education - old]])/tblPiNHistorical[[#This Row],[Education - old]], 1), "")</f>
        <v>0.2</v>
      </c>
      <c r="AF20" s="104">
        <f>IFERROR(ROUND((tblPiNHistorical[[#This Row],[Nutrition - new]]-tblPiNHistorical[[#This Row],[Nutrition - old]])/tblPiNHistorical[[#This Row],[Nutrition - old]], 1), "")</f>
        <v>0.8</v>
      </c>
      <c r="AG20" s="104">
        <f>IFERROR(ROUND((tblPiNHistorical[[#This Row],[Food Security - new]]-tblPiNHistorical[[#This Row],[Food Security - old]])/tblPiNHistorical[[#This Row],[Food Security - old]], 1), "")</f>
        <v>0</v>
      </c>
      <c r="AH20" s="104">
        <f>IFERROR(ROUND((tblPiNHistorical[[#This Row],[Health - new]]-tblPiNHistorical[[#This Row],[Health - old]])/tblPiNHistorical[[#This Row],[Health - old]], 1), "")</f>
        <v>-0.4</v>
      </c>
      <c r="AI20" s="104">
        <f>IFERROR(ROUND((tblPiNHistorical[[#This Row],[Overarching Protection - new]]-tblPiNHistorical[[#This Row],[Overarching Protection - old]])/tblPiNHistorical[[#This Row],[Overarching Protection - old]], 1), "")</f>
        <v>0.2</v>
      </c>
      <c r="AJ20" s="104">
        <f>IFERROR(ROUND((tblPiNHistorical[[#This Row],[Shelter - new]]-tblPiNHistorical[[#This Row],[Shelter - old]])/tblPiNHistorical[[#This Row],[Shelter - old]], 1), "")</f>
        <v>-0.6</v>
      </c>
      <c r="AK20" s="11">
        <f>IFERROR(ROUND((tblPiNHistorical[[#This Row],[WASH - new]]-tblPiNHistorical[[#This Row],[WASH - old]])/tblPiNHistorical[[#This Row],[WASH - old]], 1), "")</f>
        <v>1</v>
      </c>
    </row>
    <row r="21" spans="1:37" ht="17.649999999999999" customHeight="1" x14ac:dyDescent="0.25">
      <c r="A21" s="97" t="s">
        <v>347</v>
      </c>
      <c r="B21" s="65" t="s">
        <v>357</v>
      </c>
      <c r="C21" s="65" t="s">
        <v>207</v>
      </c>
      <c r="D21" s="40" t="s">
        <v>67</v>
      </c>
      <c r="E21" s="37">
        <v>70156</v>
      </c>
      <c r="F21" s="98">
        <v>41</v>
      </c>
      <c r="G21" s="99">
        <v>4957.2632993189172</v>
      </c>
      <c r="H21" s="99">
        <v>4619</v>
      </c>
      <c r="I21" s="99">
        <v>31280</v>
      </c>
      <c r="J21" s="99">
        <v>15694</v>
      </c>
      <c r="K21" s="99">
        <v>9757</v>
      </c>
      <c r="L21" s="100">
        <v>35435</v>
      </c>
      <c r="M21" s="113">
        <v>15732.031999999997</v>
      </c>
      <c r="N21" s="101">
        <v>2583</v>
      </c>
      <c r="O21" s="101">
        <v>13372</v>
      </c>
      <c r="P21" s="99">
        <v>6911</v>
      </c>
      <c r="Q21" s="99">
        <v>40890</v>
      </c>
      <c r="R21" s="99">
        <v>17872</v>
      </c>
      <c r="S21" s="99">
        <v>12190</v>
      </c>
      <c r="T21" s="99">
        <v>42771</v>
      </c>
      <c r="U21" s="99">
        <v>19161</v>
      </c>
      <c r="V21" s="102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>2542</v>
      </c>
      <c r="W21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8414.7367006810819</v>
      </c>
      <c r="X21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2292</v>
      </c>
      <c r="Y21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9610</v>
      </c>
      <c r="Z21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2178</v>
      </c>
      <c r="AA21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2433</v>
      </c>
      <c r="AB21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7336</v>
      </c>
      <c r="AC21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3428.9680000000026</v>
      </c>
      <c r="AD21" s="115">
        <f>IFERROR(ROUND((tblPiNHistorical[[#This Row],[CCCM - new]] - tblPiNHistorical[[#This Row],[CCCM - old]])/tblPiNHistorical[[#This Row],[CCCM - old]], 1), "")</f>
        <v>62</v>
      </c>
      <c r="AE21" s="104">
        <f>IFERROR(ROUND((tblPiNHistorical[[#This Row],[Education - new]]-tblPiNHistorical[[#This Row],[Education - old]])/tblPiNHistorical[[#This Row],[Education - old]], 1), "")</f>
        <v>1.7</v>
      </c>
      <c r="AF21" s="104">
        <f>IFERROR(ROUND((tblPiNHistorical[[#This Row],[Nutrition - new]]-tblPiNHistorical[[#This Row],[Nutrition - old]])/tblPiNHistorical[[#This Row],[Nutrition - old]], 1), "")</f>
        <v>0.5</v>
      </c>
      <c r="AG21" s="104">
        <f>IFERROR(ROUND((tblPiNHistorical[[#This Row],[Food Security - new]]-tblPiNHistorical[[#This Row],[Food Security - old]])/tblPiNHistorical[[#This Row],[Food Security - old]], 1), "")</f>
        <v>0.3</v>
      </c>
      <c r="AH21" s="104">
        <f>IFERROR(ROUND((tblPiNHistorical[[#This Row],[Health - new]]-tblPiNHistorical[[#This Row],[Health - old]])/tblPiNHistorical[[#This Row],[Health - old]], 1), "")</f>
        <v>0.1</v>
      </c>
      <c r="AI21" s="104">
        <f>IFERROR(ROUND((tblPiNHistorical[[#This Row],[Overarching Protection - new]]-tblPiNHistorical[[#This Row],[Overarching Protection - old]])/tblPiNHistorical[[#This Row],[Overarching Protection - old]], 1), "")</f>
        <v>0.2</v>
      </c>
      <c r="AJ21" s="104">
        <f>IFERROR(ROUND((tblPiNHistorical[[#This Row],[Shelter - new]]-tblPiNHistorical[[#This Row],[Shelter - old]])/tblPiNHistorical[[#This Row],[Shelter - old]], 1), "")</f>
        <v>0.2</v>
      </c>
      <c r="AK21" s="11">
        <f>IFERROR(ROUND((tblPiNHistorical[[#This Row],[WASH - new]]-tblPiNHistorical[[#This Row],[WASH - old]])/tblPiNHistorical[[#This Row],[WASH - old]], 1), "")</f>
        <v>0.2</v>
      </c>
    </row>
    <row r="22" spans="1:37" ht="17.649999999999999" customHeight="1" x14ac:dyDescent="0.25">
      <c r="A22" s="97" t="s">
        <v>347</v>
      </c>
      <c r="B22" s="65" t="s">
        <v>357</v>
      </c>
      <c r="C22" s="65" t="s">
        <v>311</v>
      </c>
      <c r="D22" s="40" t="s">
        <v>171</v>
      </c>
      <c r="E22" s="37">
        <v>26818</v>
      </c>
      <c r="F22" s="98">
        <v>471</v>
      </c>
      <c r="G22" s="99">
        <v>2188.3249502766789</v>
      </c>
      <c r="H22" s="99">
        <v>1810</v>
      </c>
      <c r="I22" s="99">
        <v>12259</v>
      </c>
      <c r="J22" s="99">
        <v>5281</v>
      </c>
      <c r="K22" s="99">
        <v>4306</v>
      </c>
      <c r="L22" s="100">
        <v>17319</v>
      </c>
      <c r="M22" s="113">
        <v>9525.1750000000011</v>
      </c>
      <c r="N22" s="101">
        <v>2180</v>
      </c>
      <c r="O22" s="101">
        <v>4958</v>
      </c>
      <c r="P22" s="99">
        <v>2777</v>
      </c>
      <c r="Q22" s="99">
        <v>16026</v>
      </c>
      <c r="R22" s="99">
        <v>8672</v>
      </c>
      <c r="S22" s="99">
        <v>5449</v>
      </c>
      <c r="T22" s="99">
        <v>9253</v>
      </c>
      <c r="U22" s="99">
        <v>9257</v>
      </c>
      <c r="V22" s="102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>1709</v>
      </c>
      <c r="W22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2769.6750497233211</v>
      </c>
      <c r="X22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967</v>
      </c>
      <c r="Y22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3767</v>
      </c>
      <c r="Z22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3391</v>
      </c>
      <c r="AA22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1143</v>
      </c>
      <c r="AB22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-8066</v>
      </c>
      <c r="AC22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-268.17500000000109</v>
      </c>
      <c r="AD22" s="115">
        <f>IFERROR(ROUND((tblPiNHistorical[[#This Row],[CCCM - new]] - tblPiNHistorical[[#This Row],[CCCM - old]])/tblPiNHistorical[[#This Row],[CCCM - old]], 1), "")</f>
        <v>3.6</v>
      </c>
      <c r="AE22" s="104">
        <f>IFERROR(ROUND((tblPiNHistorical[[#This Row],[Education - new]]-tblPiNHistorical[[#This Row],[Education - old]])/tblPiNHistorical[[#This Row],[Education - old]], 1), "")</f>
        <v>1.3</v>
      </c>
      <c r="AF22" s="104">
        <f>IFERROR(ROUND((tblPiNHistorical[[#This Row],[Nutrition - new]]-tblPiNHistorical[[#This Row],[Nutrition - old]])/tblPiNHistorical[[#This Row],[Nutrition - old]], 1), "")</f>
        <v>0.5</v>
      </c>
      <c r="AG22" s="104">
        <f>IFERROR(ROUND((tblPiNHistorical[[#This Row],[Food Security - new]]-tblPiNHistorical[[#This Row],[Food Security - old]])/tblPiNHistorical[[#This Row],[Food Security - old]], 1), "")</f>
        <v>0.3</v>
      </c>
      <c r="AH22" s="104">
        <f>IFERROR(ROUND((tblPiNHistorical[[#This Row],[Health - new]]-tblPiNHistorical[[#This Row],[Health - old]])/tblPiNHistorical[[#This Row],[Health - old]], 1), "")</f>
        <v>0.6</v>
      </c>
      <c r="AI22" s="104">
        <f>IFERROR(ROUND((tblPiNHistorical[[#This Row],[Overarching Protection - new]]-tblPiNHistorical[[#This Row],[Overarching Protection - old]])/tblPiNHistorical[[#This Row],[Overarching Protection - old]], 1), "")</f>
        <v>0.3</v>
      </c>
      <c r="AJ22" s="104">
        <f>IFERROR(ROUND((tblPiNHistorical[[#This Row],[Shelter - new]]-tblPiNHistorical[[#This Row],[Shelter - old]])/tblPiNHistorical[[#This Row],[Shelter - old]], 1), "")</f>
        <v>-0.5</v>
      </c>
      <c r="AK22" s="11">
        <f>IFERROR(ROUND((tblPiNHistorical[[#This Row],[WASH - new]]-tblPiNHistorical[[#This Row],[WASH - old]])/tblPiNHistorical[[#This Row],[WASH - old]], 1), "")</f>
        <v>0</v>
      </c>
    </row>
    <row r="23" spans="1:37" ht="17.649999999999999" customHeight="1" x14ac:dyDescent="0.25">
      <c r="A23" s="97" t="s">
        <v>345</v>
      </c>
      <c r="B23" s="65" t="s">
        <v>355</v>
      </c>
      <c r="C23" s="65" t="s">
        <v>269</v>
      </c>
      <c r="D23" s="40" t="s">
        <v>129</v>
      </c>
      <c r="E23" s="37">
        <v>258099</v>
      </c>
      <c r="F23" s="98">
        <v>0</v>
      </c>
      <c r="G23" s="99">
        <v>30843.54736639437</v>
      </c>
      <c r="H23" s="99">
        <v>10999</v>
      </c>
      <c r="I23" s="99">
        <v>55376</v>
      </c>
      <c r="J23" s="99">
        <v>62212</v>
      </c>
      <c r="K23" s="99">
        <v>22191</v>
      </c>
      <c r="L23" s="100">
        <v>13511</v>
      </c>
      <c r="M23" s="113">
        <v>55410.841500000002</v>
      </c>
      <c r="N23" s="101">
        <v>52466</v>
      </c>
      <c r="O23" s="101">
        <v>24182</v>
      </c>
      <c r="P23" s="99">
        <v>22960</v>
      </c>
      <c r="Q23" s="99">
        <v>123165</v>
      </c>
      <c r="R23" s="99">
        <v>148487</v>
      </c>
      <c r="S23" s="99">
        <v>41360</v>
      </c>
      <c r="T23" s="99">
        <v>110098</v>
      </c>
      <c r="U23" s="99">
        <v>119515</v>
      </c>
      <c r="V23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23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-6661.5473663943703</v>
      </c>
      <c r="X23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11961</v>
      </c>
      <c r="Y23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67789</v>
      </c>
      <c r="Z23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86275</v>
      </c>
      <c r="AA23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19169</v>
      </c>
      <c r="AB23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96587</v>
      </c>
      <c r="AC23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64104.158499999998</v>
      </c>
      <c r="AD23" s="115" t="str">
        <f>IFERROR(ROUND((tblPiNHistorical[[#This Row],[CCCM - new]] - tblPiNHistorical[[#This Row],[CCCM - old]])/tblPiNHistorical[[#This Row],[CCCM - old]], 1), "")</f>
        <v/>
      </c>
      <c r="AE23" s="104">
        <f>IFERROR(ROUND((tblPiNHistorical[[#This Row],[Education - new]]-tblPiNHistorical[[#This Row],[Education - old]])/tblPiNHistorical[[#This Row],[Education - old]], 1), "")</f>
        <v>-0.2</v>
      </c>
      <c r="AF23" s="104">
        <f>IFERROR(ROUND((tblPiNHistorical[[#This Row],[Nutrition - new]]-tblPiNHistorical[[#This Row],[Nutrition - old]])/tblPiNHistorical[[#This Row],[Nutrition - old]], 1), "")</f>
        <v>1.1000000000000001</v>
      </c>
      <c r="AG23" s="104">
        <f>IFERROR(ROUND((tblPiNHistorical[[#This Row],[Food Security - new]]-tblPiNHistorical[[#This Row],[Food Security - old]])/tblPiNHistorical[[#This Row],[Food Security - old]], 1), "")</f>
        <v>1.2</v>
      </c>
      <c r="AH23" s="104">
        <f>IFERROR(ROUND((tblPiNHistorical[[#This Row],[Health - new]]-tblPiNHistorical[[#This Row],[Health - old]])/tblPiNHistorical[[#This Row],[Health - old]], 1), "")</f>
        <v>1.4</v>
      </c>
      <c r="AI23" s="104">
        <f>IFERROR(ROUND((tblPiNHistorical[[#This Row],[Overarching Protection - new]]-tblPiNHistorical[[#This Row],[Overarching Protection - old]])/tblPiNHistorical[[#This Row],[Overarching Protection - old]], 1), "")</f>
        <v>0.9</v>
      </c>
      <c r="AJ23" s="104">
        <f>IFERROR(ROUND((tblPiNHistorical[[#This Row],[Shelter - new]]-tblPiNHistorical[[#This Row],[Shelter - old]])/tblPiNHistorical[[#This Row],[Shelter - old]], 1), "")</f>
        <v>7.1</v>
      </c>
      <c r="AK23" s="11">
        <f>IFERROR(ROUND((tblPiNHistorical[[#This Row],[WASH - new]]-tblPiNHistorical[[#This Row],[WASH - old]])/tblPiNHistorical[[#This Row],[WASH - old]], 1), "")</f>
        <v>1.2</v>
      </c>
    </row>
    <row r="24" spans="1:37" ht="17.649999999999999" customHeight="1" x14ac:dyDescent="0.25">
      <c r="A24" s="97" t="s">
        <v>345</v>
      </c>
      <c r="B24" s="65" t="s">
        <v>355</v>
      </c>
      <c r="C24" s="65" t="s">
        <v>288</v>
      </c>
      <c r="D24" s="40" t="s">
        <v>148</v>
      </c>
      <c r="E24" s="37">
        <v>92869</v>
      </c>
      <c r="F24" s="98">
        <v>0</v>
      </c>
      <c r="G24" s="99">
        <v>7261.0877514430858</v>
      </c>
      <c r="H24" s="99">
        <v>4387</v>
      </c>
      <c r="I24" s="99">
        <v>29880</v>
      </c>
      <c r="J24" s="99">
        <v>23482</v>
      </c>
      <c r="K24" s="99">
        <v>5996</v>
      </c>
      <c r="L24" s="100">
        <v>14313</v>
      </c>
      <c r="M24" s="113">
        <v>18729.664649999999</v>
      </c>
      <c r="N24" s="101">
        <v>6090</v>
      </c>
      <c r="O24" s="101">
        <v>9178</v>
      </c>
      <c r="P24" s="99">
        <v>7782</v>
      </c>
      <c r="Q24" s="99">
        <v>36557</v>
      </c>
      <c r="R24" s="99">
        <v>41292</v>
      </c>
      <c r="S24" s="99">
        <v>11847</v>
      </c>
      <c r="T24" s="99">
        <v>25903</v>
      </c>
      <c r="U24" s="99">
        <v>21682</v>
      </c>
      <c r="V24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24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1916.9122485569142</v>
      </c>
      <c r="X24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3395</v>
      </c>
      <c r="Y24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6677</v>
      </c>
      <c r="Z24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17810</v>
      </c>
      <c r="AA24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5851</v>
      </c>
      <c r="AB24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11590</v>
      </c>
      <c r="AC24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2952.3353500000012</v>
      </c>
      <c r="AD24" s="115" t="str">
        <f>IFERROR(ROUND((tblPiNHistorical[[#This Row],[CCCM - new]] - tblPiNHistorical[[#This Row],[CCCM - old]])/tblPiNHistorical[[#This Row],[CCCM - old]], 1), "")</f>
        <v/>
      </c>
      <c r="AE24" s="104">
        <f>IFERROR(ROUND((tblPiNHistorical[[#This Row],[Education - new]]-tblPiNHistorical[[#This Row],[Education - old]])/tblPiNHistorical[[#This Row],[Education - old]], 1), "")</f>
        <v>0.3</v>
      </c>
      <c r="AF24" s="104">
        <f>IFERROR(ROUND((tblPiNHistorical[[#This Row],[Nutrition - new]]-tblPiNHistorical[[#This Row],[Nutrition - old]])/tblPiNHistorical[[#This Row],[Nutrition - old]], 1), "")</f>
        <v>0.8</v>
      </c>
      <c r="AG24" s="104">
        <f>IFERROR(ROUND((tblPiNHistorical[[#This Row],[Food Security - new]]-tblPiNHistorical[[#This Row],[Food Security - old]])/tblPiNHistorical[[#This Row],[Food Security - old]], 1), "")</f>
        <v>0.2</v>
      </c>
      <c r="AH24" s="104">
        <f>IFERROR(ROUND((tblPiNHistorical[[#This Row],[Health - new]]-tblPiNHistorical[[#This Row],[Health - old]])/tblPiNHistorical[[#This Row],[Health - old]], 1), "")</f>
        <v>0.8</v>
      </c>
      <c r="AI24" s="104">
        <f>IFERROR(ROUND((tblPiNHistorical[[#This Row],[Overarching Protection - new]]-tblPiNHistorical[[#This Row],[Overarching Protection - old]])/tblPiNHistorical[[#This Row],[Overarching Protection - old]], 1), "")</f>
        <v>1</v>
      </c>
      <c r="AJ24" s="104">
        <f>IFERROR(ROUND((tblPiNHistorical[[#This Row],[Shelter - new]]-tblPiNHistorical[[#This Row],[Shelter - old]])/tblPiNHistorical[[#This Row],[Shelter - old]], 1), "")</f>
        <v>0.8</v>
      </c>
      <c r="AK24" s="11">
        <f>IFERROR(ROUND((tblPiNHistorical[[#This Row],[WASH - new]]-tblPiNHistorical[[#This Row],[WASH - old]])/tblPiNHistorical[[#This Row],[WASH - old]], 1), "")</f>
        <v>0.2</v>
      </c>
    </row>
    <row r="25" spans="1:37" ht="17.649999999999999" customHeight="1" x14ac:dyDescent="0.25">
      <c r="A25" s="97" t="s">
        <v>345</v>
      </c>
      <c r="B25" s="65" t="s">
        <v>355</v>
      </c>
      <c r="C25" s="65" t="s">
        <v>235</v>
      </c>
      <c r="D25" s="40" t="s">
        <v>95</v>
      </c>
      <c r="E25" s="37">
        <v>49845</v>
      </c>
      <c r="F25" s="98">
        <v>0</v>
      </c>
      <c r="G25" s="99">
        <v>6591.1769114032204</v>
      </c>
      <c r="H25" s="99">
        <v>2370</v>
      </c>
      <c r="I25" s="99">
        <v>16139</v>
      </c>
      <c r="J25" s="99">
        <v>5283</v>
      </c>
      <c r="K25" s="99">
        <v>5358</v>
      </c>
      <c r="L25" s="100">
        <v>3998</v>
      </c>
      <c r="M25" s="113">
        <v>16006.451999999999</v>
      </c>
      <c r="N25" s="101">
        <v>2825</v>
      </c>
      <c r="O25" s="101">
        <v>5095</v>
      </c>
      <c r="P25" s="99">
        <v>4218</v>
      </c>
      <c r="Q25" s="99">
        <v>18674</v>
      </c>
      <c r="R25" s="99">
        <v>25804</v>
      </c>
      <c r="S25" s="99">
        <v>10658</v>
      </c>
      <c r="T25" s="99">
        <v>16520</v>
      </c>
      <c r="U25" s="99">
        <v>8437</v>
      </c>
      <c r="V25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25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-1496.1769114032204</v>
      </c>
      <c r="X25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1848</v>
      </c>
      <c r="Y25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2535</v>
      </c>
      <c r="Z25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20521</v>
      </c>
      <c r="AA25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5300</v>
      </c>
      <c r="AB25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12522</v>
      </c>
      <c r="AC25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-7569.4519999999993</v>
      </c>
      <c r="AD25" s="115" t="str">
        <f>IFERROR(ROUND((tblPiNHistorical[[#This Row],[CCCM - new]] - tblPiNHistorical[[#This Row],[CCCM - old]])/tblPiNHistorical[[#This Row],[CCCM - old]], 1), "")</f>
        <v/>
      </c>
      <c r="AE25" s="104">
        <f>IFERROR(ROUND((tblPiNHistorical[[#This Row],[Education - new]]-tblPiNHistorical[[#This Row],[Education - old]])/tblPiNHistorical[[#This Row],[Education - old]], 1), "")</f>
        <v>-0.2</v>
      </c>
      <c r="AF25" s="104">
        <f>IFERROR(ROUND((tblPiNHistorical[[#This Row],[Nutrition - new]]-tblPiNHistorical[[#This Row],[Nutrition - old]])/tblPiNHistorical[[#This Row],[Nutrition - old]], 1), "")</f>
        <v>0.8</v>
      </c>
      <c r="AG25" s="104">
        <f>IFERROR(ROUND((tblPiNHistorical[[#This Row],[Food Security - new]]-tblPiNHistorical[[#This Row],[Food Security - old]])/tblPiNHistorical[[#This Row],[Food Security - old]], 1), "")</f>
        <v>0.2</v>
      </c>
      <c r="AH25" s="104">
        <f>IFERROR(ROUND((tblPiNHistorical[[#This Row],[Health - new]]-tblPiNHistorical[[#This Row],[Health - old]])/tblPiNHistorical[[#This Row],[Health - old]], 1), "")</f>
        <v>3.9</v>
      </c>
      <c r="AI25" s="104">
        <f>IFERROR(ROUND((tblPiNHistorical[[#This Row],[Overarching Protection - new]]-tblPiNHistorical[[#This Row],[Overarching Protection - old]])/tblPiNHistorical[[#This Row],[Overarching Protection - old]], 1), "")</f>
        <v>1</v>
      </c>
      <c r="AJ25" s="104">
        <f>IFERROR(ROUND((tblPiNHistorical[[#This Row],[Shelter - new]]-tblPiNHistorical[[#This Row],[Shelter - old]])/tblPiNHistorical[[#This Row],[Shelter - old]], 1), "")</f>
        <v>3.1</v>
      </c>
      <c r="AK25" s="11">
        <f>IFERROR(ROUND((tblPiNHistorical[[#This Row],[WASH - new]]-tblPiNHistorical[[#This Row],[WASH - old]])/tblPiNHistorical[[#This Row],[WASH - old]], 1), "")</f>
        <v>-0.5</v>
      </c>
    </row>
    <row r="26" spans="1:37" ht="17.649999999999999" customHeight="1" x14ac:dyDescent="0.25">
      <c r="A26" s="97" t="s">
        <v>345</v>
      </c>
      <c r="B26" s="65" t="s">
        <v>355</v>
      </c>
      <c r="C26" s="65" t="s">
        <v>277</v>
      </c>
      <c r="D26" s="40" t="s">
        <v>137</v>
      </c>
      <c r="E26" s="37">
        <v>47372</v>
      </c>
      <c r="F26" s="98">
        <v>0</v>
      </c>
      <c r="G26" s="99">
        <v>4062.4600752209308</v>
      </c>
      <c r="H26" s="99">
        <v>2140</v>
      </c>
      <c r="I26" s="99">
        <v>14571</v>
      </c>
      <c r="J26" s="99">
        <v>18726</v>
      </c>
      <c r="K26" s="99">
        <v>3251</v>
      </c>
      <c r="L26" s="100">
        <v>0</v>
      </c>
      <c r="M26" s="113">
        <v>6406.2000000000007</v>
      </c>
      <c r="N26" s="101">
        <v>6036</v>
      </c>
      <c r="O26" s="101">
        <v>4796</v>
      </c>
      <c r="P26" s="99">
        <v>4083</v>
      </c>
      <c r="Q26" s="99">
        <v>15874</v>
      </c>
      <c r="R26" s="99">
        <v>21845</v>
      </c>
      <c r="S26" s="99">
        <v>4783</v>
      </c>
      <c r="T26" s="99">
        <v>19350</v>
      </c>
      <c r="U26" s="99">
        <v>14464</v>
      </c>
      <c r="V26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26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733.53992477906922</v>
      </c>
      <c r="X26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1943</v>
      </c>
      <c r="Y26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1303</v>
      </c>
      <c r="Z26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3119</v>
      </c>
      <c r="AA26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1532</v>
      </c>
      <c r="AB26" s="103" t="str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/>
      </c>
      <c r="AC26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8057.7999999999993</v>
      </c>
      <c r="AD26" s="115" t="str">
        <f>IFERROR(ROUND((tblPiNHistorical[[#This Row],[CCCM - new]] - tblPiNHistorical[[#This Row],[CCCM - old]])/tblPiNHistorical[[#This Row],[CCCM - old]], 1), "")</f>
        <v/>
      </c>
      <c r="AE26" s="104">
        <f>IFERROR(ROUND((tblPiNHistorical[[#This Row],[Education - new]]-tblPiNHistorical[[#This Row],[Education - old]])/tblPiNHistorical[[#This Row],[Education - old]], 1), "")</f>
        <v>0.2</v>
      </c>
      <c r="AF26" s="104">
        <f>IFERROR(ROUND((tblPiNHistorical[[#This Row],[Nutrition - new]]-tblPiNHistorical[[#This Row],[Nutrition - old]])/tblPiNHistorical[[#This Row],[Nutrition - old]], 1), "")</f>
        <v>0.9</v>
      </c>
      <c r="AG26" s="104">
        <f>IFERROR(ROUND((tblPiNHistorical[[#This Row],[Food Security - new]]-tblPiNHistorical[[#This Row],[Food Security - old]])/tblPiNHistorical[[#This Row],[Food Security - old]], 1), "")</f>
        <v>0.1</v>
      </c>
      <c r="AH26" s="104">
        <f>IFERROR(ROUND((tblPiNHistorical[[#This Row],[Health - new]]-tblPiNHistorical[[#This Row],[Health - old]])/tblPiNHistorical[[#This Row],[Health - old]], 1), "")</f>
        <v>0.2</v>
      </c>
      <c r="AI26" s="104">
        <f>IFERROR(ROUND((tblPiNHistorical[[#This Row],[Overarching Protection - new]]-tblPiNHistorical[[#This Row],[Overarching Protection - old]])/tblPiNHistorical[[#This Row],[Overarching Protection - old]], 1), "")</f>
        <v>0.5</v>
      </c>
      <c r="AJ26" s="104" t="str">
        <f>IFERROR(ROUND((tblPiNHistorical[[#This Row],[Shelter - new]]-tblPiNHistorical[[#This Row],[Shelter - old]])/tblPiNHistorical[[#This Row],[Shelter - old]], 1), "")</f>
        <v/>
      </c>
      <c r="AK26" s="11">
        <f>IFERROR(ROUND((tblPiNHistorical[[#This Row],[WASH - new]]-tblPiNHistorical[[#This Row],[WASH - old]])/tblPiNHistorical[[#This Row],[WASH - old]], 1), "")</f>
        <v>1.3</v>
      </c>
    </row>
    <row r="27" spans="1:37" ht="17.649999999999999" customHeight="1" x14ac:dyDescent="0.25">
      <c r="A27" s="97" t="s">
        <v>345</v>
      </c>
      <c r="B27" s="65" t="s">
        <v>355</v>
      </c>
      <c r="C27" s="65" t="s">
        <v>216</v>
      </c>
      <c r="D27" s="40" t="s">
        <v>76</v>
      </c>
      <c r="E27" s="37">
        <v>113034</v>
      </c>
      <c r="F27" s="98">
        <v>0</v>
      </c>
      <c r="G27" s="99">
        <v>10458.447137547786</v>
      </c>
      <c r="H27" s="99">
        <v>5096</v>
      </c>
      <c r="I27" s="99">
        <v>34703</v>
      </c>
      <c r="J27" s="99">
        <v>25634</v>
      </c>
      <c r="K27" s="99">
        <v>8403</v>
      </c>
      <c r="L27" s="100">
        <v>6343</v>
      </c>
      <c r="M27" s="113">
        <v>45728.74755</v>
      </c>
      <c r="N27" s="101">
        <v>14684</v>
      </c>
      <c r="O27" s="101">
        <v>11800</v>
      </c>
      <c r="P27" s="99">
        <v>9410</v>
      </c>
      <c r="Q27" s="99">
        <v>39746</v>
      </c>
      <c r="R27" s="99">
        <v>49729</v>
      </c>
      <c r="S27" s="99">
        <v>13785</v>
      </c>
      <c r="T27" s="99">
        <v>43231</v>
      </c>
      <c r="U27" s="99">
        <v>35255</v>
      </c>
      <c r="V27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27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1341.552862452214</v>
      </c>
      <c r="X27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4314</v>
      </c>
      <c r="Y27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5043</v>
      </c>
      <c r="Z27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24095</v>
      </c>
      <c r="AA27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5382</v>
      </c>
      <c r="AB27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36888</v>
      </c>
      <c r="AC27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-10473.74755</v>
      </c>
      <c r="AD27" s="115" t="str">
        <f>IFERROR(ROUND((tblPiNHistorical[[#This Row],[CCCM - new]] - tblPiNHistorical[[#This Row],[CCCM - old]])/tblPiNHistorical[[#This Row],[CCCM - old]], 1), "")</f>
        <v/>
      </c>
      <c r="AE27" s="104">
        <f>IFERROR(ROUND((tblPiNHistorical[[#This Row],[Education - new]]-tblPiNHistorical[[#This Row],[Education - old]])/tblPiNHistorical[[#This Row],[Education - old]], 1), "")</f>
        <v>0.1</v>
      </c>
      <c r="AF27" s="104">
        <f>IFERROR(ROUND((tblPiNHistorical[[#This Row],[Nutrition - new]]-tblPiNHistorical[[#This Row],[Nutrition - old]])/tblPiNHistorical[[#This Row],[Nutrition - old]], 1), "")</f>
        <v>0.8</v>
      </c>
      <c r="AG27" s="104">
        <f>IFERROR(ROUND((tblPiNHistorical[[#This Row],[Food Security - new]]-tblPiNHistorical[[#This Row],[Food Security - old]])/tblPiNHistorical[[#This Row],[Food Security - old]], 1), "")</f>
        <v>0.1</v>
      </c>
      <c r="AH27" s="104">
        <f>IFERROR(ROUND((tblPiNHistorical[[#This Row],[Health - new]]-tblPiNHistorical[[#This Row],[Health - old]])/tblPiNHistorical[[#This Row],[Health - old]], 1), "")</f>
        <v>0.9</v>
      </c>
      <c r="AI27" s="104">
        <f>IFERROR(ROUND((tblPiNHistorical[[#This Row],[Overarching Protection - new]]-tblPiNHistorical[[#This Row],[Overarching Protection - old]])/tblPiNHistorical[[#This Row],[Overarching Protection - old]], 1), "")</f>
        <v>0.6</v>
      </c>
      <c r="AJ27" s="104">
        <f>IFERROR(ROUND((tblPiNHistorical[[#This Row],[Shelter - new]]-tblPiNHistorical[[#This Row],[Shelter - old]])/tblPiNHistorical[[#This Row],[Shelter - old]], 1), "")</f>
        <v>5.8</v>
      </c>
      <c r="AK27" s="11">
        <f>IFERROR(ROUND((tblPiNHistorical[[#This Row],[WASH - new]]-tblPiNHistorical[[#This Row],[WASH - old]])/tblPiNHistorical[[#This Row],[WASH - old]], 1), "")</f>
        <v>-0.2</v>
      </c>
    </row>
    <row r="28" spans="1:37" ht="17.649999999999999" customHeight="1" x14ac:dyDescent="0.25">
      <c r="A28" s="97" t="s">
        <v>345</v>
      </c>
      <c r="B28" s="65" t="s">
        <v>355</v>
      </c>
      <c r="C28" s="65" t="s">
        <v>246</v>
      </c>
      <c r="D28" s="40" t="s">
        <v>106</v>
      </c>
      <c r="E28" s="37">
        <v>63370</v>
      </c>
      <c r="F28" s="98">
        <v>0</v>
      </c>
      <c r="G28" s="99">
        <v>6747.3034248619615</v>
      </c>
      <c r="H28" s="99">
        <v>2880</v>
      </c>
      <c r="I28" s="99">
        <v>19615</v>
      </c>
      <c r="J28" s="99">
        <v>18579</v>
      </c>
      <c r="K28" s="99">
        <v>5379</v>
      </c>
      <c r="L28" s="100">
        <v>2217</v>
      </c>
      <c r="M28" s="113">
        <v>13725.6</v>
      </c>
      <c r="N28" s="101">
        <v>7538</v>
      </c>
      <c r="O28" s="101">
        <v>6446</v>
      </c>
      <c r="P28" s="99">
        <v>5006</v>
      </c>
      <c r="Q28" s="99">
        <v>23065</v>
      </c>
      <c r="R28" s="99">
        <v>27221</v>
      </c>
      <c r="S28" s="99">
        <v>9885</v>
      </c>
      <c r="T28" s="99">
        <v>0</v>
      </c>
      <c r="U28" s="99">
        <v>18902</v>
      </c>
      <c r="V28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28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-301.3034248619615</v>
      </c>
      <c r="X28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2126</v>
      </c>
      <c r="Y28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3450</v>
      </c>
      <c r="Z28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8642</v>
      </c>
      <c r="AA28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4506</v>
      </c>
      <c r="AB28" s="103" t="str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/>
      </c>
      <c r="AC28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5176.3999999999996</v>
      </c>
      <c r="AD28" s="115" t="str">
        <f>IFERROR(ROUND((tblPiNHistorical[[#This Row],[CCCM - new]] - tblPiNHistorical[[#This Row],[CCCM - old]])/tblPiNHistorical[[#This Row],[CCCM - old]], 1), "")</f>
        <v/>
      </c>
      <c r="AE28" s="104">
        <f>IFERROR(ROUND((tblPiNHistorical[[#This Row],[Education - new]]-tblPiNHistorical[[#This Row],[Education - old]])/tblPiNHistorical[[#This Row],[Education - old]], 1), "")</f>
        <v>0</v>
      </c>
      <c r="AF28" s="104">
        <f>IFERROR(ROUND((tblPiNHistorical[[#This Row],[Nutrition - new]]-tblPiNHistorical[[#This Row],[Nutrition - old]])/tblPiNHistorical[[#This Row],[Nutrition - old]], 1), "")</f>
        <v>0.7</v>
      </c>
      <c r="AG28" s="104">
        <f>IFERROR(ROUND((tblPiNHistorical[[#This Row],[Food Security - new]]-tblPiNHistorical[[#This Row],[Food Security - old]])/tblPiNHistorical[[#This Row],[Food Security - old]], 1), "")</f>
        <v>0.2</v>
      </c>
      <c r="AH28" s="104">
        <f>IFERROR(ROUND((tblPiNHistorical[[#This Row],[Health - new]]-tblPiNHistorical[[#This Row],[Health - old]])/tblPiNHistorical[[#This Row],[Health - old]], 1), "")</f>
        <v>0.5</v>
      </c>
      <c r="AI28" s="104">
        <f>IFERROR(ROUND((tblPiNHistorical[[#This Row],[Overarching Protection - new]]-tblPiNHistorical[[#This Row],[Overarching Protection - old]])/tblPiNHistorical[[#This Row],[Overarching Protection - old]], 1), "")</f>
        <v>0.8</v>
      </c>
      <c r="AJ28" s="104">
        <f>IFERROR(ROUND((tblPiNHistorical[[#This Row],[Shelter - new]]-tblPiNHistorical[[#This Row],[Shelter - old]])/tblPiNHistorical[[#This Row],[Shelter - old]], 1), "")</f>
        <v>-1</v>
      </c>
      <c r="AK28" s="11">
        <f>IFERROR(ROUND((tblPiNHistorical[[#This Row],[WASH - new]]-tblPiNHistorical[[#This Row],[WASH - old]])/tblPiNHistorical[[#This Row],[WASH - old]], 1), "")</f>
        <v>0.4</v>
      </c>
    </row>
    <row r="29" spans="1:37" ht="17.649999999999999" customHeight="1" x14ac:dyDescent="0.25">
      <c r="A29" s="97" t="s">
        <v>345</v>
      </c>
      <c r="B29" s="65" t="s">
        <v>355</v>
      </c>
      <c r="C29" s="65" t="s">
        <v>222</v>
      </c>
      <c r="D29" s="40" t="s">
        <v>82</v>
      </c>
      <c r="E29" s="37">
        <v>95781</v>
      </c>
      <c r="F29" s="98">
        <v>0</v>
      </c>
      <c r="G29" s="99">
        <v>9589.6684070909359</v>
      </c>
      <c r="H29" s="99">
        <v>4461</v>
      </c>
      <c r="I29" s="99">
        <v>30380</v>
      </c>
      <c r="J29" s="99">
        <v>26617</v>
      </c>
      <c r="K29" s="99">
        <v>8739</v>
      </c>
      <c r="L29" s="100">
        <v>8401</v>
      </c>
      <c r="M29" s="113">
        <v>33355.792649999996</v>
      </c>
      <c r="N29" s="101">
        <v>8187</v>
      </c>
      <c r="O29" s="101">
        <v>10088</v>
      </c>
      <c r="P29" s="99">
        <v>8511</v>
      </c>
      <c r="Q29" s="99">
        <v>45508</v>
      </c>
      <c r="R29" s="99">
        <v>59751</v>
      </c>
      <c r="S29" s="99">
        <v>26562</v>
      </c>
      <c r="T29" s="99">
        <v>21200</v>
      </c>
      <c r="U29" s="99">
        <v>26176</v>
      </c>
      <c r="V29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29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498.33159290906406</v>
      </c>
      <c r="X29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4050</v>
      </c>
      <c r="Y29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15128</v>
      </c>
      <c r="Z29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33134</v>
      </c>
      <c r="AA29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17823</v>
      </c>
      <c r="AB29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12799</v>
      </c>
      <c r="AC29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-7179.7926499999958</v>
      </c>
      <c r="AD29" s="115" t="str">
        <f>IFERROR(ROUND((tblPiNHistorical[[#This Row],[CCCM - new]] - tblPiNHistorical[[#This Row],[CCCM - old]])/tblPiNHistorical[[#This Row],[CCCM - old]], 1), "")</f>
        <v/>
      </c>
      <c r="AE29" s="104">
        <f>IFERROR(ROUND((tblPiNHistorical[[#This Row],[Education - new]]-tblPiNHistorical[[#This Row],[Education - old]])/tblPiNHistorical[[#This Row],[Education - old]], 1), "")</f>
        <v>0.1</v>
      </c>
      <c r="AF29" s="104">
        <f>IFERROR(ROUND((tblPiNHistorical[[#This Row],[Nutrition - new]]-tblPiNHistorical[[#This Row],[Nutrition - old]])/tblPiNHistorical[[#This Row],[Nutrition - old]], 1), "")</f>
        <v>0.9</v>
      </c>
      <c r="AG29" s="104">
        <f>IFERROR(ROUND((tblPiNHistorical[[#This Row],[Food Security - new]]-tblPiNHistorical[[#This Row],[Food Security - old]])/tblPiNHistorical[[#This Row],[Food Security - old]], 1), "")</f>
        <v>0.5</v>
      </c>
      <c r="AH29" s="104">
        <f>IFERROR(ROUND((tblPiNHistorical[[#This Row],[Health - new]]-tblPiNHistorical[[#This Row],[Health - old]])/tblPiNHistorical[[#This Row],[Health - old]], 1), "")</f>
        <v>1.2</v>
      </c>
      <c r="AI29" s="104">
        <f>IFERROR(ROUND((tblPiNHistorical[[#This Row],[Overarching Protection - new]]-tblPiNHistorical[[#This Row],[Overarching Protection - old]])/tblPiNHistorical[[#This Row],[Overarching Protection - old]], 1), "")</f>
        <v>2</v>
      </c>
      <c r="AJ29" s="104">
        <f>IFERROR(ROUND((tblPiNHistorical[[#This Row],[Shelter - new]]-tblPiNHistorical[[#This Row],[Shelter - old]])/tblPiNHistorical[[#This Row],[Shelter - old]], 1), "")</f>
        <v>1.5</v>
      </c>
      <c r="AK29" s="11">
        <f>IFERROR(ROUND((tblPiNHistorical[[#This Row],[WASH - new]]-tblPiNHistorical[[#This Row],[WASH - old]])/tblPiNHistorical[[#This Row],[WASH - old]], 1), "")</f>
        <v>-0.2</v>
      </c>
    </row>
    <row r="30" spans="1:37" ht="17.649999999999999" customHeight="1" x14ac:dyDescent="0.25">
      <c r="A30" s="97" t="s">
        <v>345</v>
      </c>
      <c r="B30" s="65" t="s">
        <v>355</v>
      </c>
      <c r="C30" s="65" t="s">
        <v>262</v>
      </c>
      <c r="D30" s="40" t="s">
        <v>122</v>
      </c>
      <c r="E30" s="37">
        <v>25416</v>
      </c>
      <c r="F30" s="98">
        <v>0</v>
      </c>
      <c r="G30" s="99">
        <v>1915.7522224161642</v>
      </c>
      <c r="H30" s="99">
        <v>1002</v>
      </c>
      <c r="I30" s="99">
        <v>6824</v>
      </c>
      <c r="J30" s="99">
        <v>46</v>
      </c>
      <c r="K30" s="99">
        <v>1643</v>
      </c>
      <c r="L30" s="100">
        <v>3486</v>
      </c>
      <c r="M30" s="113">
        <v>4067.0212499999998</v>
      </c>
      <c r="N30" s="101">
        <v>7575</v>
      </c>
      <c r="O30" s="101">
        <v>2886</v>
      </c>
      <c r="P30" s="99">
        <v>2044</v>
      </c>
      <c r="Q30" s="99">
        <v>10221</v>
      </c>
      <c r="R30" s="99">
        <v>27371</v>
      </c>
      <c r="S30" s="99">
        <v>10568</v>
      </c>
      <c r="T30" s="99">
        <v>7452</v>
      </c>
      <c r="U30" s="99">
        <v>21952</v>
      </c>
      <c r="V30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30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970.24777758383584</v>
      </c>
      <c r="X30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1042</v>
      </c>
      <c r="Y30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3397</v>
      </c>
      <c r="Z30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27325</v>
      </c>
      <c r="AA30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8925</v>
      </c>
      <c r="AB30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3966</v>
      </c>
      <c r="AC30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17884.978750000002</v>
      </c>
      <c r="AD30" s="115" t="str">
        <f>IFERROR(ROUND((tblPiNHistorical[[#This Row],[CCCM - new]] - tblPiNHistorical[[#This Row],[CCCM - old]])/tblPiNHistorical[[#This Row],[CCCM - old]], 1), "")</f>
        <v/>
      </c>
      <c r="AE30" s="104">
        <f>IFERROR(ROUND((tblPiNHistorical[[#This Row],[Education - new]]-tblPiNHistorical[[#This Row],[Education - old]])/tblPiNHistorical[[#This Row],[Education - old]], 1), "")</f>
        <v>0.5</v>
      </c>
      <c r="AF30" s="104">
        <f>IFERROR(ROUND((tblPiNHistorical[[#This Row],[Nutrition - new]]-tblPiNHistorical[[#This Row],[Nutrition - old]])/tblPiNHistorical[[#This Row],[Nutrition - old]], 1), "")</f>
        <v>1</v>
      </c>
      <c r="AG30" s="104">
        <f>IFERROR(ROUND((tblPiNHistorical[[#This Row],[Food Security - new]]-tblPiNHistorical[[#This Row],[Food Security - old]])/tblPiNHistorical[[#This Row],[Food Security - old]], 1), "")</f>
        <v>0.5</v>
      </c>
      <c r="AH30" s="104">
        <f>IFERROR(ROUND((tblPiNHistorical[[#This Row],[Health - new]]-tblPiNHistorical[[#This Row],[Health - old]])/tblPiNHistorical[[#This Row],[Health - old]], 1), "")</f>
        <v>594</v>
      </c>
      <c r="AI30" s="104">
        <f>IFERROR(ROUND((tblPiNHistorical[[#This Row],[Overarching Protection - new]]-tblPiNHistorical[[#This Row],[Overarching Protection - old]])/tblPiNHistorical[[#This Row],[Overarching Protection - old]], 1), "")</f>
        <v>5.4</v>
      </c>
      <c r="AJ30" s="104">
        <f>IFERROR(ROUND((tblPiNHistorical[[#This Row],[Shelter - new]]-tblPiNHistorical[[#This Row],[Shelter - old]])/tblPiNHistorical[[#This Row],[Shelter - old]], 1), "")</f>
        <v>1.1000000000000001</v>
      </c>
      <c r="AK30" s="11">
        <f>IFERROR(ROUND((tblPiNHistorical[[#This Row],[WASH - new]]-tblPiNHistorical[[#This Row],[WASH - old]])/tblPiNHistorical[[#This Row],[WASH - old]], 1), "")</f>
        <v>4.4000000000000004</v>
      </c>
    </row>
    <row r="31" spans="1:37" ht="17.649999999999999" customHeight="1" x14ac:dyDescent="0.25">
      <c r="A31" s="97" t="s">
        <v>345</v>
      </c>
      <c r="B31" s="65" t="s">
        <v>355</v>
      </c>
      <c r="C31" s="65" t="s">
        <v>333</v>
      </c>
      <c r="D31" s="40" t="s">
        <v>193</v>
      </c>
      <c r="E31" s="37">
        <v>46178</v>
      </c>
      <c r="F31" s="98">
        <v>0</v>
      </c>
      <c r="G31" s="99">
        <v>3696.4315473233437</v>
      </c>
      <c r="H31" s="99">
        <v>2051</v>
      </c>
      <c r="I31" s="99">
        <v>13971</v>
      </c>
      <c r="J31" s="99">
        <v>67</v>
      </c>
      <c r="K31" s="99">
        <v>4429</v>
      </c>
      <c r="L31" s="100">
        <v>7286</v>
      </c>
      <c r="M31" s="113">
        <v>6076.732500000001</v>
      </c>
      <c r="N31" s="101">
        <v>6900</v>
      </c>
      <c r="O31" s="101">
        <v>4690</v>
      </c>
      <c r="P31" s="99">
        <v>3550</v>
      </c>
      <c r="Q31" s="99">
        <v>19337</v>
      </c>
      <c r="R31" s="99">
        <v>47990</v>
      </c>
      <c r="S31" s="99">
        <v>27619</v>
      </c>
      <c r="T31" s="99">
        <v>13859</v>
      </c>
      <c r="U31" s="99">
        <v>20049</v>
      </c>
      <c r="V31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31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993.56845267665631</v>
      </c>
      <c r="X31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1499</v>
      </c>
      <c r="Y31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5366</v>
      </c>
      <c r="Z31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47923</v>
      </c>
      <c r="AA31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23190</v>
      </c>
      <c r="AB31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6573</v>
      </c>
      <c r="AC31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13972.267499999998</v>
      </c>
      <c r="AD31" s="115" t="str">
        <f>IFERROR(ROUND((tblPiNHistorical[[#This Row],[CCCM - new]] - tblPiNHistorical[[#This Row],[CCCM - old]])/tblPiNHistorical[[#This Row],[CCCM - old]], 1), "")</f>
        <v/>
      </c>
      <c r="AE31" s="104">
        <f>IFERROR(ROUND((tblPiNHistorical[[#This Row],[Education - new]]-tblPiNHistorical[[#This Row],[Education - old]])/tblPiNHistorical[[#This Row],[Education - old]], 1), "")</f>
        <v>0.3</v>
      </c>
      <c r="AF31" s="104">
        <f>IFERROR(ROUND((tblPiNHistorical[[#This Row],[Nutrition - new]]-tblPiNHistorical[[#This Row],[Nutrition - old]])/tblPiNHistorical[[#This Row],[Nutrition - old]], 1), "")</f>
        <v>0.7</v>
      </c>
      <c r="AG31" s="104">
        <f>IFERROR(ROUND((tblPiNHistorical[[#This Row],[Food Security - new]]-tblPiNHistorical[[#This Row],[Food Security - old]])/tblPiNHistorical[[#This Row],[Food Security - old]], 1), "")</f>
        <v>0.4</v>
      </c>
      <c r="AH31" s="104">
        <f>IFERROR(ROUND((tblPiNHistorical[[#This Row],[Health - new]]-tblPiNHistorical[[#This Row],[Health - old]])/tblPiNHistorical[[#This Row],[Health - old]], 1), "")</f>
        <v>715.3</v>
      </c>
      <c r="AI31" s="104">
        <f>IFERROR(ROUND((tblPiNHistorical[[#This Row],[Overarching Protection - new]]-tblPiNHistorical[[#This Row],[Overarching Protection - old]])/tblPiNHistorical[[#This Row],[Overarching Protection - old]], 1), "")</f>
        <v>5.2</v>
      </c>
      <c r="AJ31" s="104">
        <f>IFERROR(ROUND((tblPiNHistorical[[#This Row],[Shelter - new]]-tblPiNHistorical[[#This Row],[Shelter - old]])/tblPiNHistorical[[#This Row],[Shelter - old]], 1), "")</f>
        <v>0.9</v>
      </c>
      <c r="AK31" s="11">
        <f>IFERROR(ROUND((tblPiNHistorical[[#This Row],[WASH - new]]-tblPiNHistorical[[#This Row],[WASH - old]])/tblPiNHistorical[[#This Row],[WASH - old]], 1), "")</f>
        <v>2.2999999999999998</v>
      </c>
    </row>
    <row r="32" spans="1:37" ht="17.649999999999999" customHeight="1" x14ac:dyDescent="0.25">
      <c r="A32" s="110" t="s">
        <v>345</v>
      </c>
      <c r="B32" s="81" t="s">
        <v>355</v>
      </c>
      <c r="C32" s="81" t="s">
        <v>205</v>
      </c>
      <c r="D32" s="81" t="s">
        <v>65</v>
      </c>
      <c r="E32" s="82">
        <v>43459</v>
      </c>
      <c r="F32" s="71">
        <v>0</v>
      </c>
      <c r="G32" s="66">
        <v>4496.2152953906279</v>
      </c>
      <c r="H32" s="66">
        <v>1771</v>
      </c>
      <c r="I32" s="66">
        <v>12059</v>
      </c>
      <c r="J32" s="66">
        <v>13133</v>
      </c>
      <c r="K32" s="66">
        <v>3904</v>
      </c>
      <c r="L32" s="72">
        <v>6647</v>
      </c>
      <c r="M32" s="73">
        <v>11085.527699999999</v>
      </c>
      <c r="N32" s="76">
        <v>11250</v>
      </c>
      <c r="O32" s="76">
        <v>4320</v>
      </c>
      <c r="P32" s="66">
        <v>3431</v>
      </c>
      <c r="Q32" s="66">
        <v>15269</v>
      </c>
      <c r="R32" s="66">
        <v>77676</v>
      </c>
      <c r="S32" s="66">
        <v>51465</v>
      </c>
      <c r="T32" s="66">
        <v>31070</v>
      </c>
      <c r="U32" s="66">
        <v>35930</v>
      </c>
      <c r="V32" s="83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32" s="84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-176.21529539062794</v>
      </c>
      <c r="X32" s="84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1660</v>
      </c>
      <c r="Y32" s="84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3210</v>
      </c>
      <c r="Z32" s="84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64543</v>
      </c>
      <c r="AA32" s="84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47561</v>
      </c>
      <c r="AB32" s="84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24423</v>
      </c>
      <c r="AC32" s="126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24844.472300000001</v>
      </c>
      <c r="AD32" s="125" t="str">
        <f>IFERROR(ROUND((tblPiNHistorical[[#This Row],[CCCM - new]] - tblPiNHistorical[[#This Row],[CCCM - old]])/tblPiNHistorical[[#This Row],[CCCM - old]], 1), "")</f>
        <v/>
      </c>
      <c r="AE32" s="85">
        <f>IFERROR(ROUND((tblPiNHistorical[[#This Row],[Education - new]]-tblPiNHistorical[[#This Row],[Education - old]])/tblPiNHistorical[[#This Row],[Education - old]], 1), "")</f>
        <v>0</v>
      </c>
      <c r="AF32" s="85">
        <f>IFERROR(ROUND((tblPiNHistorical[[#This Row],[Nutrition - new]]-tblPiNHistorical[[#This Row],[Nutrition - old]])/tblPiNHistorical[[#This Row],[Nutrition - old]], 1), "")</f>
        <v>0.9</v>
      </c>
      <c r="AG32" s="85">
        <f>IFERROR(ROUND((tblPiNHistorical[[#This Row],[Food Security - new]]-tblPiNHistorical[[#This Row],[Food Security - old]])/tblPiNHistorical[[#This Row],[Food Security - old]], 1), "")</f>
        <v>0.3</v>
      </c>
      <c r="AH32" s="85">
        <f>IFERROR(ROUND((tblPiNHistorical[[#This Row],[Health - new]]-tblPiNHistorical[[#This Row],[Health - old]])/tblPiNHistorical[[#This Row],[Health - old]], 1), "")</f>
        <v>4.9000000000000004</v>
      </c>
      <c r="AI32" s="85">
        <f>IFERROR(ROUND((tblPiNHistorical[[#This Row],[Overarching Protection - new]]-tblPiNHistorical[[#This Row],[Overarching Protection - old]])/tblPiNHistorical[[#This Row],[Overarching Protection - old]], 1), "")</f>
        <v>12.2</v>
      </c>
      <c r="AJ32" s="85">
        <f>IFERROR(ROUND((tblPiNHistorical[[#This Row],[Shelter - new]]-tblPiNHistorical[[#This Row],[Shelter - old]])/tblPiNHistorical[[#This Row],[Shelter - old]], 1), "")</f>
        <v>3.7</v>
      </c>
      <c r="AK32" s="77">
        <f>IFERROR(ROUND((tblPiNHistorical[[#This Row],[WASH - new]]-tblPiNHistorical[[#This Row],[WASH - old]])/tblPiNHistorical[[#This Row],[WASH - old]], 1), "")</f>
        <v>2.2000000000000002</v>
      </c>
    </row>
    <row r="33" spans="1:37" ht="17.649999999999999" customHeight="1" x14ac:dyDescent="0.25">
      <c r="A33" s="97" t="s">
        <v>343</v>
      </c>
      <c r="B33" s="65" t="s">
        <v>353</v>
      </c>
      <c r="C33" s="65" t="s">
        <v>229</v>
      </c>
      <c r="D33" s="40" t="s">
        <v>89</v>
      </c>
      <c r="E33" s="37">
        <v>303590</v>
      </c>
      <c r="F33" s="98">
        <v>0</v>
      </c>
      <c r="G33" s="99">
        <v>16828.640123412017</v>
      </c>
      <c r="H33" s="99">
        <v>20074</v>
      </c>
      <c r="I33" s="99">
        <v>1610</v>
      </c>
      <c r="J33" s="99">
        <v>129234</v>
      </c>
      <c r="K33" s="99">
        <v>29382</v>
      </c>
      <c r="L33" s="100">
        <v>96776</v>
      </c>
      <c r="M33" s="113">
        <v>54202.973999999995</v>
      </c>
      <c r="N33" s="101">
        <v>23760</v>
      </c>
      <c r="O33" s="101">
        <v>26859</v>
      </c>
      <c r="P33" s="99">
        <v>27934</v>
      </c>
      <c r="Q33" s="99">
        <v>95544</v>
      </c>
      <c r="R33" s="99">
        <v>109547</v>
      </c>
      <c r="S33" s="99">
        <v>36539</v>
      </c>
      <c r="T33" s="99">
        <v>123785</v>
      </c>
      <c r="U33" s="99">
        <v>82987</v>
      </c>
      <c r="V33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33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10030.359876587983</v>
      </c>
      <c r="X33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7860</v>
      </c>
      <c r="Y33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93934</v>
      </c>
      <c r="Z33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-19687</v>
      </c>
      <c r="AA33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7157</v>
      </c>
      <c r="AB33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27009</v>
      </c>
      <c r="AC33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28784.026000000005</v>
      </c>
      <c r="AD33" s="115" t="str">
        <f>IFERROR(ROUND((tblPiNHistorical[[#This Row],[CCCM - new]] - tblPiNHistorical[[#This Row],[CCCM - old]])/tblPiNHistorical[[#This Row],[CCCM - old]], 1), "")</f>
        <v/>
      </c>
      <c r="AE33" s="104">
        <f>IFERROR(ROUND((tblPiNHistorical[[#This Row],[Education - new]]-tblPiNHistorical[[#This Row],[Education - old]])/tblPiNHistorical[[#This Row],[Education - old]], 1), "")</f>
        <v>0.6</v>
      </c>
      <c r="AF33" s="104">
        <f>IFERROR(ROUND((tblPiNHistorical[[#This Row],[Nutrition - new]]-tblPiNHistorical[[#This Row],[Nutrition - old]])/tblPiNHistorical[[#This Row],[Nutrition - old]], 1), "")</f>
        <v>0.4</v>
      </c>
      <c r="AG33" s="104">
        <f>IFERROR(ROUND((tblPiNHistorical[[#This Row],[Food Security - new]]-tblPiNHistorical[[#This Row],[Food Security - old]])/tblPiNHistorical[[#This Row],[Food Security - old]], 1), "")</f>
        <v>58.3</v>
      </c>
      <c r="AH33" s="104">
        <f>IFERROR(ROUND((tblPiNHistorical[[#This Row],[Health - new]]-tblPiNHistorical[[#This Row],[Health - old]])/tblPiNHistorical[[#This Row],[Health - old]], 1), "")</f>
        <v>-0.2</v>
      </c>
      <c r="AI33" s="104">
        <f>IFERROR(ROUND((tblPiNHistorical[[#This Row],[Overarching Protection - new]]-tblPiNHistorical[[#This Row],[Overarching Protection - old]])/tblPiNHistorical[[#This Row],[Overarching Protection - old]], 1), "")</f>
        <v>0.2</v>
      </c>
      <c r="AJ33" s="104">
        <f>IFERROR(ROUND((tblPiNHistorical[[#This Row],[Shelter - new]]-tblPiNHistorical[[#This Row],[Shelter - old]])/tblPiNHistorical[[#This Row],[Shelter - old]], 1), "")</f>
        <v>0.3</v>
      </c>
      <c r="AK33" s="11">
        <f>IFERROR(ROUND((tblPiNHistorical[[#This Row],[WASH - new]]-tblPiNHistorical[[#This Row],[WASH - old]])/tblPiNHistorical[[#This Row],[WASH - old]], 1), "")</f>
        <v>0.5</v>
      </c>
    </row>
    <row r="34" spans="1:37" ht="17.649999999999999" customHeight="1" x14ac:dyDescent="0.25">
      <c r="A34" s="97" t="s">
        <v>343</v>
      </c>
      <c r="B34" s="65" t="s">
        <v>353</v>
      </c>
      <c r="C34" s="65" t="s">
        <v>317</v>
      </c>
      <c r="D34" s="40" t="s">
        <v>177</v>
      </c>
      <c r="E34" s="37">
        <v>29881</v>
      </c>
      <c r="F34" s="98">
        <v>0</v>
      </c>
      <c r="G34" s="99">
        <v>3721.3232787021425</v>
      </c>
      <c r="H34" s="99">
        <v>2002</v>
      </c>
      <c r="I34" s="99">
        <v>8208</v>
      </c>
      <c r="J34" s="99">
        <v>6753</v>
      </c>
      <c r="K34" s="99">
        <v>6566</v>
      </c>
      <c r="L34" s="100">
        <v>28973</v>
      </c>
      <c r="M34" s="113">
        <v>11009.55</v>
      </c>
      <c r="N34" s="101">
        <v>1800</v>
      </c>
      <c r="O34" s="101">
        <v>2610</v>
      </c>
      <c r="P34" s="99">
        <v>2757</v>
      </c>
      <c r="Q34" s="99">
        <v>13412</v>
      </c>
      <c r="R34" s="99">
        <v>9640</v>
      </c>
      <c r="S34" s="99">
        <v>7924</v>
      </c>
      <c r="T34" s="99">
        <v>19584</v>
      </c>
      <c r="U34" s="99">
        <v>7502</v>
      </c>
      <c r="V34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34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-1111.3232787021425</v>
      </c>
      <c r="X34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755</v>
      </c>
      <c r="Y34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5204</v>
      </c>
      <c r="Z34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2887</v>
      </c>
      <c r="AA34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1358</v>
      </c>
      <c r="AB34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-9389</v>
      </c>
      <c r="AC34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-3507.5499999999993</v>
      </c>
      <c r="AD34" s="115" t="str">
        <f>IFERROR(ROUND((tblPiNHistorical[[#This Row],[CCCM - new]] - tblPiNHistorical[[#This Row],[CCCM - old]])/tblPiNHistorical[[#This Row],[CCCM - old]], 1), "")</f>
        <v/>
      </c>
      <c r="AE34" s="104">
        <f>IFERROR(ROUND((tblPiNHistorical[[#This Row],[Education - new]]-tblPiNHistorical[[#This Row],[Education - old]])/tblPiNHistorical[[#This Row],[Education - old]], 1), "")</f>
        <v>-0.3</v>
      </c>
      <c r="AF34" s="104">
        <f>IFERROR(ROUND((tblPiNHistorical[[#This Row],[Nutrition - new]]-tblPiNHistorical[[#This Row],[Nutrition - old]])/tblPiNHistorical[[#This Row],[Nutrition - old]], 1), "")</f>
        <v>0.4</v>
      </c>
      <c r="AG34" s="104">
        <f>IFERROR(ROUND((tblPiNHistorical[[#This Row],[Food Security - new]]-tblPiNHistorical[[#This Row],[Food Security - old]])/tblPiNHistorical[[#This Row],[Food Security - old]], 1), "")</f>
        <v>0.6</v>
      </c>
      <c r="AH34" s="104">
        <f>IFERROR(ROUND((tblPiNHistorical[[#This Row],[Health - new]]-tblPiNHistorical[[#This Row],[Health - old]])/tblPiNHistorical[[#This Row],[Health - old]], 1), "")</f>
        <v>0.4</v>
      </c>
      <c r="AI34" s="104">
        <f>IFERROR(ROUND((tblPiNHistorical[[#This Row],[Overarching Protection - new]]-tblPiNHistorical[[#This Row],[Overarching Protection - old]])/tblPiNHistorical[[#This Row],[Overarching Protection - old]], 1), "")</f>
        <v>0.2</v>
      </c>
      <c r="AJ34" s="104">
        <f>IFERROR(ROUND((tblPiNHistorical[[#This Row],[Shelter - new]]-tblPiNHistorical[[#This Row],[Shelter - old]])/tblPiNHistorical[[#This Row],[Shelter - old]], 1), "")</f>
        <v>-0.3</v>
      </c>
      <c r="AK34" s="11">
        <f>IFERROR(ROUND((tblPiNHistorical[[#This Row],[WASH - new]]-tblPiNHistorical[[#This Row],[WASH - old]])/tblPiNHistorical[[#This Row],[WASH - old]], 1), "")</f>
        <v>-0.3</v>
      </c>
    </row>
    <row r="35" spans="1:37" ht="17.649999999999999" customHeight="1" x14ac:dyDescent="0.25">
      <c r="A35" s="97" t="s">
        <v>343</v>
      </c>
      <c r="B35" s="65" t="s">
        <v>353</v>
      </c>
      <c r="C35" s="65" t="s">
        <v>285</v>
      </c>
      <c r="D35" s="40" t="s">
        <v>145</v>
      </c>
      <c r="E35" s="37">
        <v>61261</v>
      </c>
      <c r="F35" s="98">
        <v>0</v>
      </c>
      <c r="G35" s="99">
        <v>3924.1352368372936</v>
      </c>
      <c r="H35" s="99">
        <v>3303</v>
      </c>
      <c r="I35" s="99">
        <v>16543</v>
      </c>
      <c r="J35" s="99">
        <v>21598</v>
      </c>
      <c r="K35" s="99">
        <v>7403</v>
      </c>
      <c r="L35" s="100">
        <v>20368</v>
      </c>
      <c r="M35" s="113">
        <v>21520.476600000002</v>
      </c>
      <c r="N35" s="101">
        <v>5150</v>
      </c>
      <c r="O35" s="101">
        <v>5852</v>
      </c>
      <c r="P35" s="99">
        <v>5392</v>
      </c>
      <c r="Q35" s="99">
        <v>27034</v>
      </c>
      <c r="R35" s="99">
        <v>22408</v>
      </c>
      <c r="S35" s="99">
        <v>8828</v>
      </c>
      <c r="T35" s="99">
        <v>33572</v>
      </c>
      <c r="U35" s="99">
        <v>17233</v>
      </c>
      <c r="V35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35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1927.8647631627064</v>
      </c>
      <c r="X35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2089</v>
      </c>
      <c r="Y35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10491</v>
      </c>
      <c r="Z35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810</v>
      </c>
      <c r="AA35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1425</v>
      </c>
      <c r="AB35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13204</v>
      </c>
      <c r="AC35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-4287.4766000000018</v>
      </c>
      <c r="AD35" s="115" t="str">
        <f>IFERROR(ROUND((tblPiNHistorical[[#This Row],[CCCM - new]] - tblPiNHistorical[[#This Row],[CCCM - old]])/tblPiNHistorical[[#This Row],[CCCM - old]], 1), "")</f>
        <v/>
      </c>
      <c r="AE35" s="104">
        <f>IFERROR(ROUND((tblPiNHistorical[[#This Row],[Education - new]]-tblPiNHistorical[[#This Row],[Education - old]])/tblPiNHistorical[[#This Row],[Education - old]], 1), "")</f>
        <v>0.5</v>
      </c>
      <c r="AF35" s="104">
        <f>IFERROR(ROUND((tblPiNHistorical[[#This Row],[Nutrition - new]]-tblPiNHistorical[[#This Row],[Nutrition - old]])/tblPiNHistorical[[#This Row],[Nutrition - old]], 1), "")</f>
        <v>0.6</v>
      </c>
      <c r="AG35" s="104">
        <f>IFERROR(ROUND((tblPiNHistorical[[#This Row],[Food Security - new]]-tblPiNHistorical[[#This Row],[Food Security - old]])/tblPiNHistorical[[#This Row],[Food Security - old]], 1), "")</f>
        <v>0.6</v>
      </c>
      <c r="AH35" s="104">
        <f>IFERROR(ROUND((tblPiNHistorical[[#This Row],[Health - new]]-tblPiNHistorical[[#This Row],[Health - old]])/tblPiNHistorical[[#This Row],[Health - old]], 1), "")</f>
        <v>0</v>
      </c>
      <c r="AI35" s="104">
        <f>IFERROR(ROUND((tblPiNHistorical[[#This Row],[Overarching Protection - new]]-tblPiNHistorical[[#This Row],[Overarching Protection - old]])/tblPiNHistorical[[#This Row],[Overarching Protection - old]], 1), "")</f>
        <v>0.2</v>
      </c>
      <c r="AJ35" s="104">
        <f>IFERROR(ROUND((tblPiNHistorical[[#This Row],[Shelter - new]]-tblPiNHistorical[[#This Row],[Shelter - old]])/tblPiNHistorical[[#This Row],[Shelter - old]], 1), "")</f>
        <v>0.6</v>
      </c>
      <c r="AK35" s="11">
        <f>IFERROR(ROUND((tblPiNHistorical[[#This Row],[WASH - new]]-tblPiNHistorical[[#This Row],[WASH - old]])/tblPiNHistorical[[#This Row],[WASH - old]], 1), "")</f>
        <v>-0.2</v>
      </c>
    </row>
    <row r="36" spans="1:37" ht="17.649999999999999" customHeight="1" x14ac:dyDescent="0.25">
      <c r="A36" s="110" t="s">
        <v>343</v>
      </c>
      <c r="B36" s="81" t="s">
        <v>353</v>
      </c>
      <c r="C36" s="81" t="s">
        <v>203</v>
      </c>
      <c r="D36" s="81" t="s">
        <v>63</v>
      </c>
      <c r="E36" s="82">
        <v>59632</v>
      </c>
      <c r="F36" s="71">
        <v>0</v>
      </c>
      <c r="G36" s="66">
        <v>4047.4407971981204</v>
      </c>
      <c r="H36" s="66">
        <v>4090</v>
      </c>
      <c r="I36" s="66">
        <v>16772</v>
      </c>
      <c r="J36" s="66">
        <v>11070</v>
      </c>
      <c r="K36" s="66">
        <v>7218</v>
      </c>
      <c r="L36" s="72">
        <v>17188</v>
      </c>
      <c r="M36" s="73">
        <v>8602.6395000000011</v>
      </c>
      <c r="N36" s="76">
        <v>1538</v>
      </c>
      <c r="O36" s="76">
        <v>5287</v>
      </c>
      <c r="P36" s="66">
        <v>5524</v>
      </c>
      <c r="Q36" s="66">
        <v>27408</v>
      </c>
      <c r="R36" s="66">
        <v>16270</v>
      </c>
      <c r="S36" s="66">
        <v>8598</v>
      </c>
      <c r="T36" s="66">
        <v>31745</v>
      </c>
      <c r="U36" s="66">
        <v>29358</v>
      </c>
      <c r="V36" s="83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36" s="84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1239.5592028018796</v>
      </c>
      <c r="X36" s="84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1434</v>
      </c>
      <c r="Y36" s="84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10636</v>
      </c>
      <c r="Z36" s="84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5200</v>
      </c>
      <c r="AA36" s="84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1380</v>
      </c>
      <c r="AB36" s="84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14557</v>
      </c>
      <c r="AC36" s="126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20755.360499999999</v>
      </c>
      <c r="AD36" s="125" t="str">
        <f>IFERROR(ROUND((tblPiNHistorical[[#This Row],[CCCM - new]] - tblPiNHistorical[[#This Row],[CCCM - old]])/tblPiNHistorical[[#This Row],[CCCM - old]], 1), "")</f>
        <v/>
      </c>
      <c r="AE36" s="85">
        <f>IFERROR(ROUND((tblPiNHistorical[[#This Row],[Education - new]]-tblPiNHistorical[[#This Row],[Education - old]])/tblPiNHistorical[[#This Row],[Education - old]], 1), "")</f>
        <v>0.3</v>
      </c>
      <c r="AF36" s="85">
        <f>IFERROR(ROUND((tblPiNHistorical[[#This Row],[Nutrition - new]]-tblPiNHistorical[[#This Row],[Nutrition - old]])/tblPiNHistorical[[#This Row],[Nutrition - old]], 1), "")</f>
        <v>0.4</v>
      </c>
      <c r="AG36" s="85">
        <f>IFERROR(ROUND((tblPiNHistorical[[#This Row],[Food Security - new]]-tblPiNHistorical[[#This Row],[Food Security - old]])/tblPiNHistorical[[#This Row],[Food Security - old]], 1), "")</f>
        <v>0.6</v>
      </c>
      <c r="AH36" s="85">
        <f>IFERROR(ROUND((tblPiNHistorical[[#This Row],[Health - new]]-tblPiNHistorical[[#This Row],[Health - old]])/tblPiNHistorical[[#This Row],[Health - old]], 1), "")</f>
        <v>0.5</v>
      </c>
      <c r="AI36" s="85">
        <f>IFERROR(ROUND((tblPiNHistorical[[#This Row],[Overarching Protection - new]]-tblPiNHistorical[[#This Row],[Overarching Protection - old]])/tblPiNHistorical[[#This Row],[Overarching Protection - old]], 1), "")</f>
        <v>0.2</v>
      </c>
      <c r="AJ36" s="85">
        <f>IFERROR(ROUND((tblPiNHistorical[[#This Row],[Shelter - new]]-tblPiNHistorical[[#This Row],[Shelter - old]])/tblPiNHistorical[[#This Row],[Shelter - old]], 1), "")</f>
        <v>0.8</v>
      </c>
      <c r="AK36" s="77">
        <f>IFERROR(ROUND((tblPiNHistorical[[#This Row],[WASH - new]]-tblPiNHistorical[[#This Row],[WASH - old]])/tblPiNHistorical[[#This Row],[WASH - old]], 1), "")</f>
        <v>2.4</v>
      </c>
    </row>
    <row r="37" spans="1:37" ht="17.649999999999999" customHeight="1" x14ac:dyDescent="0.25">
      <c r="A37" s="97" t="s">
        <v>343</v>
      </c>
      <c r="B37" s="65" t="s">
        <v>353</v>
      </c>
      <c r="C37" s="65" t="s">
        <v>308</v>
      </c>
      <c r="D37" s="40" t="s">
        <v>168</v>
      </c>
      <c r="E37" s="37">
        <v>43982</v>
      </c>
      <c r="F37" s="98">
        <v>0</v>
      </c>
      <c r="G37" s="99">
        <v>4843.0827697555596</v>
      </c>
      <c r="H37" s="99">
        <v>3018</v>
      </c>
      <c r="I37" s="99">
        <v>12377</v>
      </c>
      <c r="J37" s="99">
        <v>104</v>
      </c>
      <c r="K37" s="99">
        <v>9284</v>
      </c>
      <c r="L37" s="100">
        <v>25137</v>
      </c>
      <c r="M37" s="113">
        <v>15685.695999999998</v>
      </c>
      <c r="N37" s="101">
        <v>1106</v>
      </c>
      <c r="O37" s="101">
        <v>4226</v>
      </c>
      <c r="P37" s="99">
        <v>4076</v>
      </c>
      <c r="Q37" s="99">
        <v>20225</v>
      </c>
      <c r="R37" s="99">
        <v>11994</v>
      </c>
      <c r="S37" s="99">
        <v>11572</v>
      </c>
      <c r="T37" s="99">
        <v>20455</v>
      </c>
      <c r="U37" s="99">
        <v>17543</v>
      </c>
      <c r="V37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37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-617.08276975555964</v>
      </c>
      <c r="X37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1058</v>
      </c>
      <c r="Y37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7848</v>
      </c>
      <c r="Z37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11890</v>
      </c>
      <c r="AA37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2288</v>
      </c>
      <c r="AB37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-4682</v>
      </c>
      <c r="AC37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1857.3040000000019</v>
      </c>
      <c r="AD37" s="115" t="str">
        <f>IFERROR(ROUND((tblPiNHistorical[[#This Row],[CCCM - new]] - tblPiNHistorical[[#This Row],[CCCM - old]])/tblPiNHistorical[[#This Row],[CCCM - old]], 1), "")</f>
        <v/>
      </c>
      <c r="AE37" s="104">
        <f>IFERROR(ROUND((tblPiNHistorical[[#This Row],[Education - new]]-tblPiNHistorical[[#This Row],[Education - old]])/tblPiNHistorical[[#This Row],[Education - old]], 1), "")</f>
        <v>-0.1</v>
      </c>
      <c r="AF37" s="104">
        <f>IFERROR(ROUND((tblPiNHistorical[[#This Row],[Nutrition - new]]-tblPiNHistorical[[#This Row],[Nutrition - old]])/tblPiNHistorical[[#This Row],[Nutrition - old]], 1), "")</f>
        <v>0.4</v>
      </c>
      <c r="AG37" s="104">
        <f>IFERROR(ROUND((tblPiNHistorical[[#This Row],[Food Security - new]]-tblPiNHistorical[[#This Row],[Food Security - old]])/tblPiNHistorical[[#This Row],[Food Security - old]], 1), "")</f>
        <v>0.6</v>
      </c>
      <c r="AH37" s="104">
        <f>IFERROR(ROUND((tblPiNHistorical[[#This Row],[Health - new]]-tblPiNHistorical[[#This Row],[Health - old]])/tblPiNHistorical[[#This Row],[Health - old]], 1), "")</f>
        <v>114.3</v>
      </c>
      <c r="AI37" s="104">
        <f>IFERROR(ROUND((tblPiNHistorical[[#This Row],[Overarching Protection - new]]-tblPiNHistorical[[#This Row],[Overarching Protection - old]])/tblPiNHistorical[[#This Row],[Overarching Protection - old]], 1), "")</f>
        <v>0.2</v>
      </c>
      <c r="AJ37" s="104">
        <f>IFERROR(ROUND((tblPiNHistorical[[#This Row],[Shelter - new]]-tblPiNHistorical[[#This Row],[Shelter - old]])/tblPiNHistorical[[#This Row],[Shelter - old]], 1), "")</f>
        <v>-0.2</v>
      </c>
      <c r="AK37" s="11">
        <f>IFERROR(ROUND((tblPiNHistorical[[#This Row],[WASH - new]]-tblPiNHistorical[[#This Row],[WASH - old]])/tblPiNHistorical[[#This Row],[WASH - old]], 1), "")</f>
        <v>0.1</v>
      </c>
    </row>
    <row r="38" spans="1:37" ht="17.649999999999999" customHeight="1" x14ac:dyDescent="0.25">
      <c r="A38" s="97" t="s">
        <v>343</v>
      </c>
      <c r="B38" s="65" t="s">
        <v>353</v>
      </c>
      <c r="C38" s="65" t="s">
        <v>290</v>
      </c>
      <c r="D38" s="40" t="s">
        <v>150</v>
      </c>
      <c r="E38" s="37">
        <v>34193</v>
      </c>
      <c r="F38" s="98">
        <v>0</v>
      </c>
      <c r="G38" s="99">
        <v>3091.6942611096697</v>
      </c>
      <c r="H38" s="99">
        <v>2341</v>
      </c>
      <c r="I38" s="99">
        <v>9598</v>
      </c>
      <c r="J38" s="99">
        <v>23920</v>
      </c>
      <c r="K38" s="99">
        <v>5801</v>
      </c>
      <c r="L38" s="100">
        <v>0</v>
      </c>
      <c r="M38" s="113">
        <v>22072.648499999999</v>
      </c>
      <c r="N38" s="101">
        <v>983</v>
      </c>
      <c r="O38" s="101">
        <v>3241</v>
      </c>
      <c r="P38" s="99">
        <v>3167</v>
      </c>
      <c r="Q38" s="99">
        <v>15684</v>
      </c>
      <c r="R38" s="99">
        <v>9644</v>
      </c>
      <c r="S38" s="99">
        <v>6757</v>
      </c>
      <c r="T38" s="99">
        <v>11250</v>
      </c>
      <c r="U38" s="99">
        <v>6197</v>
      </c>
      <c r="V38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38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149.3057388903303</v>
      </c>
      <c r="X38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826</v>
      </c>
      <c r="Y38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6086</v>
      </c>
      <c r="Z38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-14276</v>
      </c>
      <c r="AA38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956</v>
      </c>
      <c r="AB38" s="103" t="str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/>
      </c>
      <c r="AC38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-15875.648499999999</v>
      </c>
      <c r="AD38" s="115" t="str">
        <f>IFERROR(ROUND((tblPiNHistorical[[#This Row],[CCCM - new]] - tblPiNHistorical[[#This Row],[CCCM - old]])/tblPiNHistorical[[#This Row],[CCCM - old]], 1), "")</f>
        <v/>
      </c>
      <c r="AE38" s="104">
        <f>IFERROR(ROUND((tblPiNHistorical[[#This Row],[Education - new]]-tblPiNHistorical[[#This Row],[Education - old]])/tblPiNHistorical[[#This Row],[Education - old]], 1), "")</f>
        <v>0</v>
      </c>
      <c r="AF38" s="104">
        <f>IFERROR(ROUND((tblPiNHistorical[[#This Row],[Nutrition - new]]-tblPiNHistorical[[#This Row],[Nutrition - old]])/tblPiNHistorical[[#This Row],[Nutrition - old]], 1), "")</f>
        <v>0.4</v>
      </c>
      <c r="AG38" s="104">
        <f>IFERROR(ROUND((tblPiNHistorical[[#This Row],[Food Security - new]]-tblPiNHistorical[[#This Row],[Food Security - old]])/tblPiNHistorical[[#This Row],[Food Security - old]], 1), "")</f>
        <v>0.6</v>
      </c>
      <c r="AH38" s="104">
        <f>IFERROR(ROUND((tblPiNHistorical[[#This Row],[Health - new]]-tblPiNHistorical[[#This Row],[Health - old]])/tblPiNHistorical[[#This Row],[Health - old]], 1), "")</f>
        <v>-0.6</v>
      </c>
      <c r="AI38" s="104">
        <f>IFERROR(ROUND((tblPiNHistorical[[#This Row],[Overarching Protection - new]]-tblPiNHistorical[[#This Row],[Overarching Protection - old]])/tblPiNHistorical[[#This Row],[Overarching Protection - old]], 1), "")</f>
        <v>0.2</v>
      </c>
      <c r="AJ38" s="104" t="str">
        <f>IFERROR(ROUND((tblPiNHistorical[[#This Row],[Shelter - new]]-tblPiNHistorical[[#This Row],[Shelter - old]])/tblPiNHistorical[[#This Row],[Shelter - old]], 1), "")</f>
        <v/>
      </c>
      <c r="AK38" s="11">
        <f>IFERROR(ROUND((tblPiNHistorical[[#This Row],[WASH - new]]-tblPiNHistorical[[#This Row],[WASH - old]])/tblPiNHistorical[[#This Row],[WASH - old]], 1), "")</f>
        <v>-0.7</v>
      </c>
    </row>
    <row r="39" spans="1:37" ht="17.649999999999999" customHeight="1" x14ac:dyDescent="0.25">
      <c r="A39" s="97" t="s">
        <v>343</v>
      </c>
      <c r="B39" s="65" t="s">
        <v>353</v>
      </c>
      <c r="C39" s="65" t="s">
        <v>263</v>
      </c>
      <c r="D39" s="40" t="s">
        <v>123</v>
      </c>
      <c r="E39" s="37">
        <v>43816</v>
      </c>
      <c r="F39" s="98">
        <v>0</v>
      </c>
      <c r="G39" s="99">
        <v>2226.7571324952864</v>
      </c>
      <c r="H39" s="99">
        <v>3026</v>
      </c>
      <c r="I39" s="99">
        <v>20681</v>
      </c>
      <c r="J39" s="99">
        <v>20972</v>
      </c>
      <c r="K39" s="99">
        <v>3910</v>
      </c>
      <c r="L39" s="100">
        <v>17337</v>
      </c>
      <c r="M39" s="113">
        <v>16105.6085</v>
      </c>
      <c r="N39" s="101">
        <v>693</v>
      </c>
      <c r="O39" s="101">
        <v>3818</v>
      </c>
      <c r="P39" s="99">
        <v>4065</v>
      </c>
      <c r="Q39" s="99">
        <v>22530</v>
      </c>
      <c r="R39" s="99">
        <v>11782</v>
      </c>
      <c r="S39" s="99">
        <v>5019</v>
      </c>
      <c r="T39" s="99">
        <v>16258</v>
      </c>
      <c r="U39" s="99">
        <v>13544</v>
      </c>
      <c r="V39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39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1591.2428675047136</v>
      </c>
      <c r="X39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1039</v>
      </c>
      <c r="Y39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1849</v>
      </c>
      <c r="Z39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-9190</v>
      </c>
      <c r="AA39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1109</v>
      </c>
      <c r="AB39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-1079</v>
      </c>
      <c r="AC39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-2561.6085000000003</v>
      </c>
      <c r="AD39" s="115" t="str">
        <f>IFERROR(ROUND((tblPiNHistorical[[#This Row],[CCCM - new]] - tblPiNHistorical[[#This Row],[CCCM - old]])/tblPiNHistorical[[#This Row],[CCCM - old]], 1), "")</f>
        <v/>
      </c>
      <c r="AE39" s="104">
        <f>IFERROR(ROUND((tblPiNHistorical[[#This Row],[Education - new]]-tblPiNHistorical[[#This Row],[Education - old]])/tblPiNHistorical[[#This Row],[Education - old]], 1), "")</f>
        <v>0.7</v>
      </c>
      <c r="AF39" s="104">
        <f>IFERROR(ROUND((tblPiNHistorical[[#This Row],[Nutrition - new]]-tblPiNHistorical[[#This Row],[Nutrition - old]])/tblPiNHistorical[[#This Row],[Nutrition - old]], 1), "")</f>
        <v>0.3</v>
      </c>
      <c r="AG39" s="104">
        <f>IFERROR(ROUND((tblPiNHistorical[[#This Row],[Food Security - new]]-tblPiNHistorical[[#This Row],[Food Security - old]])/tblPiNHistorical[[#This Row],[Food Security - old]], 1), "")</f>
        <v>0.1</v>
      </c>
      <c r="AH39" s="104">
        <f>IFERROR(ROUND((tblPiNHistorical[[#This Row],[Health - new]]-tblPiNHistorical[[#This Row],[Health - old]])/tblPiNHistorical[[#This Row],[Health - old]], 1), "")</f>
        <v>-0.4</v>
      </c>
      <c r="AI39" s="104">
        <f>IFERROR(ROUND((tblPiNHistorical[[#This Row],[Overarching Protection - new]]-tblPiNHistorical[[#This Row],[Overarching Protection - old]])/tblPiNHistorical[[#This Row],[Overarching Protection - old]], 1), "")</f>
        <v>0.3</v>
      </c>
      <c r="AJ39" s="104">
        <f>IFERROR(ROUND((tblPiNHistorical[[#This Row],[Shelter - new]]-tblPiNHistorical[[#This Row],[Shelter - old]])/tblPiNHistorical[[#This Row],[Shelter - old]], 1), "")</f>
        <v>-0.1</v>
      </c>
      <c r="AK39" s="11">
        <f>IFERROR(ROUND((tblPiNHistorical[[#This Row],[WASH - new]]-tblPiNHistorical[[#This Row],[WASH - old]])/tblPiNHistorical[[#This Row],[WASH - old]], 1), "")</f>
        <v>-0.2</v>
      </c>
    </row>
    <row r="40" spans="1:37" ht="17.649999999999999" customHeight="1" x14ac:dyDescent="0.25">
      <c r="A40" s="97" t="s">
        <v>343</v>
      </c>
      <c r="B40" s="65" t="s">
        <v>353</v>
      </c>
      <c r="C40" s="65" t="s">
        <v>214</v>
      </c>
      <c r="D40" s="40" t="s">
        <v>74</v>
      </c>
      <c r="E40" s="37">
        <v>24534</v>
      </c>
      <c r="F40" s="98">
        <v>0</v>
      </c>
      <c r="G40" s="99">
        <v>1123.2365889119071</v>
      </c>
      <c r="H40" s="99">
        <v>1701</v>
      </c>
      <c r="I40" s="99">
        <v>11626</v>
      </c>
      <c r="J40" s="99">
        <v>6367</v>
      </c>
      <c r="K40" s="99">
        <v>2170</v>
      </c>
      <c r="L40" s="100">
        <v>13742</v>
      </c>
      <c r="M40" s="113">
        <v>11823.239999999998</v>
      </c>
      <c r="N40" s="101">
        <v>249</v>
      </c>
      <c r="O40" s="101">
        <v>2318</v>
      </c>
      <c r="P40" s="99">
        <v>2278</v>
      </c>
      <c r="Q40" s="99">
        <v>12665</v>
      </c>
      <c r="R40" s="99">
        <v>6481</v>
      </c>
      <c r="S40" s="99">
        <v>2700</v>
      </c>
      <c r="T40" s="99">
        <v>18276</v>
      </c>
      <c r="U40" s="99">
        <v>2550</v>
      </c>
      <c r="V40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40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1194.7634110880929</v>
      </c>
      <c r="X40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577</v>
      </c>
      <c r="Y40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1039</v>
      </c>
      <c r="Z40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114</v>
      </c>
      <c r="AA40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530</v>
      </c>
      <c r="AB40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4534</v>
      </c>
      <c r="AC40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-9273.239999999998</v>
      </c>
      <c r="AD40" s="115" t="str">
        <f>IFERROR(ROUND((tblPiNHistorical[[#This Row],[CCCM - new]] - tblPiNHistorical[[#This Row],[CCCM - old]])/tblPiNHistorical[[#This Row],[CCCM - old]], 1), "")</f>
        <v/>
      </c>
      <c r="AE40" s="104">
        <f>IFERROR(ROUND((tblPiNHistorical[[#This Row],[Education - new]]-tblPiNHistorical[[#This Row],[Education - old]])/tblPiNHistorical[[#This Row],[Education - old]], 1), "")</f>
        <v>1.1000000000000001</v>
      </c>
      <c r="AF40" s="104">
        <f>IFERROR(ROUND((tblPiNHistorical[[#This Row],[Nutrition - new]]-tblPiNHistorical[[#This Row],[Nutrition - old]])/tblPiNHistorical[[#This Row],[Nutrition - old]], 1), "")</f>
        <v>0.3</v>
      </c>
      <c r="AG40" s="104">
        <f>IFERROR(ROUND((tblPiNHistorical[[#This Row],[Food Security - new]]-tblPiNHistorical[[#This Row],[Food Security - old]])/tblPiNHistorical[[#This Row],[Food Security - old]], 1), "")</f>
        <v>0.1</v>
      </c>
      <c r="AH40" s="104">
        <f>IFERROR(ROUND((tblPiNHistorical[[#This Row],[Health - new]]-tblPiNHistorical[[#This Row],[Health - old]])/tblPiNHistorical[[#This Row],[Health - old]], 1), "")</f>
        <v>0</v>
      </c>
      <c r="AI40" s="104">
        <f>IFERROR(ROUND((tblPiNHistorical[[#This Row],[Overarching Protection - new]]-tblPiNHistorical[[#This Row],[Overarching Protection - old]])/tblPiNHistorical[[#This Row],[Overarching Protection - old]], 1), "")</f>
        <v>0.2</v>
      </c>
      <c r="AJ40" s="104">
        <f>IFERROR(ROUND((tblPiNHistorical[[#This Row],[Shelter - new]]-tblPiNHistorical[[#This Row],[Shelter - old]])/tblPiNHistorical[[#This Row],[Shelter - old]], 1), "")</f>
        <v>0.3</v>
      </c>
      <c r="AK40" s="11">
        <f>IFERROR(ROUND((tblPiNHistorical[[#This Row],[WASH - new]]-tblPiNHistorical[[#This Row],[WASH - old]])/tblPiNHistorical[[#This Row],[WASH - old]], 1), "")</f>
        <v>-0.8</v>
      </c>
    </row>
    <row r="41" spans="1:37" ht="17.649999999999999" customHeight="1" x14ac:dyDescent="0.25">
      <c r="A41" s="97" t="s">
        <v>343</v>
      </c>
      <c r="B41" s="65" t="s">
        <v>353</v>
      </c>
      <c r="C41" s="65" t="s">
        <v>324</v>
      </c>
      <c r="D41" s="40" t="s">
        <v>184</v>
      </c>
      <c r="E41" s="37">
        <v>56607</v>
      </c>
      <c r="F41" s="98">
        <v>0</v>
      </c>
      <c r="G41" s="99">
        <v>3538.4842524796031</v>
      </c>
      <c r="H41" s="99">
        <v>3933</v>
      </c>
      <c r="I41" s="99">
        <v>26877</v>
      </c>
      <c r="J41" s="99">
        <v>29833</v>
      </c>
      <c r="K41" s="99">
        <v>7016</v>
      </c>
      <c r="L41" s="100">
        <v>34436</v>
      </c>
      <c r="M41" s="113">
        <v>22479.983999999997</v>
      </c>
      <c r="N41" s="101">
        <v>398</v>
      </c>
      <c r="O41" s="101">
        <v>5543</v>
      </c>
      <c r="P41" s="99">
        <v>5256</v>
      </c>
      <c r="Q41" s="99">
        <v>29281</v>
      </c>
      <c r="R41" s="99">
        <v>14982</v>
      </c>
      <c r="S41" s="99">
        <v>8248</v>
      </c>
      <c r="T41" s="99">
        <v>13520</v>
      </c>
      <c r="U41" s="99">
        <v>10674</v>
      </c>
      <c r="V41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41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2004.5157475203969</v>
      </c>
      <c r="X41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1323</v>
      </c>
      <c r="Y41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2404</v>
      </c>
      <c r="Z41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-14851</v>
      </c>
      <c r="AA41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1232</v>
      </c>
      <c r="AB41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-20916</v>
      </c>
      <c r="AC41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-11805.983999999997</v>
      </c>
      <c r="AD41" s="115" t="str">
        <f>IFERROR(ROUND((tblPiNHistorical[[#This Row],[CCCM - new]] - tblPiNHistorical[[#This Row],[CCCM - old]])/tblPiNHistorical[[#This Row],[CCCM - old]], 1), "")</f>
        <v/>
      </c>
      <c r="AE41" s="104">
        <f>IFERROR(ROUND((tblPiNHistorical[[#This Row],[Education - new]]-tblPiNHistorical[[#This Row],[Education - old]])/tblPiNHistorical[[#This Row],[Education - old]], 1), "")</f>
        <v>0.6</v>
      </c>
      <c r="AF41" s="104">
        <f>IFERROR(ROUND((tblPiNHistorical[[#This Row],[Nutrition - new]]-tblPiNHistorical[[#This Row],[Nutrition - old]])/tblPiNHistorical[[#This Row],[Nutrition - old]], 1), "")</f>
        <v>0.3</v>
      </c>
      <c r="AG41" s="104">
        <f>IFERROR(ROUND((tblPiNHistorical[[#This Row],[Food Security - new]]-tblPiNHistorical[[#This Row],[Food Security - old]])/tblPiNHistorical[[#This Row],[Food Security - old]], 1), "")</f>
        <v>0.1</v>
      </c>
      <c r="AH41" s="104">
        <f>IFERROR(ROUND((tblPiNHistorical[[#This Row],[Health - new]]-tblPiNHistorical[[#This Row],[Health - old]])/tblPiNHistorical[[#This Row],[Health - old]], 1), "")</f>
        <v>-0.5</v>
      </c>
      <c r="AI41" s="104">
        <f>IFERROR(ROUND((tblPiNHistorical[[#This Row],[Overarching Protection - new]]-tblPiNHistorical[[#This Row],[Overarching Protection - old]])/tblPiNHistorical[[#This Row],[Overarching Protection - old]], 1), "")</f>
        <v>0.2</v>
      </c>
      <c r="AJ41" s="104">
        <f>IFERROR(ROUND((tblPiNHistorical[[#This Row],[Shelter - new]]-tblPiNHistorical[[#This Row],[Shelter - old]])/tblPiNHistorical[[#This Row],[Shelter - old]], 1), "")</f>
        <v>-0.6</v>
      </c>
      <c r="AK41" s="11">
        <f>IFERROR(ROUND((tblPiNHistorical[[#This Row],[WASH - new]]-tblPiNHistorical[[#This Row],[WASH - old]])/tblPiNHistorical[[#This Row],[WASH - old]], 1), "")</f>
        <v>-0.5</v>
      </c>
    </row>
    <row r="42" spans="1:37" ht="17.649999999999999" customHeight="1" x14ac:dyDescent="0.25">
      <c r="A42" s="97" t="s">
        <v>343</v>
      </c>
      <c r="B42" s="65" t="s">
        <v>353</v>
      </c>
      <c r="C42" s="65" t="s">
        <v>252</v>
      </c>
      <c r="D42" s="40" t="s">
        <v>112</v>
      </c>
      <c r="E42" s="37">
        <v>36398</v>
      </c>
      <c r="F42" s="98">
        <v>0</v>
      </c>
      <c r="G42" s="99">
        <v>1722.7456545204066</v>
      </c>
      <c r="H42" s="99">
        <v>2531</v>
      </c>
      <c r="I42" s="99">
        <v>17302</v>
      </c>
      <c r="J42" s="99">
        <v>14301</v>
      </c>
      <c r="K42" s="99">
        <v>3209</v>
      </c>
      <c r="L42" s="100">
        <v>13413</v>
      </c>
      <c r="M42" s="113">
        <v>15641.657499999999</v>
      </c>
      <c r="N42" s="101">
        <v>194</v>
      </c>
      <c r="O42" s="101">
        <v>3328</v>
      </c>
      <c r="P42" s="99">
        <v>3382</v>
      </c>
      <c r="Q42" s="99">
        <v>18849</v>
      </c>
      <c r="R42" s="99">
        <v>9109</v>
      </c>
      <c r="S42" s="99">
        <v>3741</v>
      </c>
      <c r="T42" s="99">
        <v>11250</v>
      </c>
      <c r="U42" s="99">
        <v>10043</v>
      </c>
      <c r="V42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42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1605.2543454795934</v>
      </c>
      <c r="X42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851</v>
      </c>
      <c r="Y42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1547</v>
      </c>
      <c r="Z42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-5192</v>
      </c>
      <c r="AA42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532</v>
      </c>
      <c r="AB42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-2163</v>
      </c>
      <c r="AC42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-5598.6574999999993</v>
      </c>
      <c r="AD42" s="115" t="str">
        <f>IFERROR(ROUND((tblPiNHistorical[[#This Row],[CCCM - new]] - tblPiNHistorical[[#This Row],[CCCM - old]])/tblPiNHistorical[[#This Row],[CCCM - old]], 1), "")</f>
        <v/>
      </c>
      <c r="AE42" s="104">
        <f>IFERROR(ROUND((tblPiNHistorical[[#This Row],[Education - new]]-tblPiNHistorical[[#This Row],[Education - old]])/tblPiNHistorical[[#This Row],[Education - old]], 1), "")</f>
        <v>0.9</v>
      </c>
      <c r="AF42" s="104">
        <f>IFERROR(ROUND((tblPiNHistorical[[#This Row],[Nutrition - new]]-tblPiNHistorical[[#This Row],[Nutrition - old]])/tblPiNHistorical[[#This Row],[Nutrition - old]], 1), "")</f>
        <v>0.3</v>
      </c>
      <c r="AG42" s="104">
        <f>IFERROR(ROUND((tblPiNHistorical[[#This Row],[Food Security - new]]-tblPiNHistorical[[#This Row],[Food Security - old]])/tblPiNHistorical[[#This Row],[Food Security - old]], 1), "")</f>
        <v>0.1</v>
      </c>
      <c r="AH42" s="104">
        <f>IFERROR(ROUND((tblPiNHistorical[[#This Row],[Health - new]]-tblPiNHistorical[[#This Row],[Health - old]])/tblPiNHistorical[[#This Row],[Health - old]], 1), "")</f>
        <v>-0.4</v>
      </c>
      <c r="AI42" s="104">
        <f>IFERROR(ROUND((tblPiNHistorical[[#This Row],[Overarching Protection - new]]-tblPiNHistorical[[#This Row],[Overarching Protection - old]])/tblPiNHistorical[[#This Row],[Overarching Protection - old]], 1), "")</f>
        <v>0.2</v>
      </c>
      <c r="AJ42" s="104">
        <f>IFERROR(ROUND((tblPiNHistorical[[#This Row],[Shelter - new]]-tblPiNHistorical[[#This Row],[Shelter - old]])/tblPiNHistorical[[#This Row],[Shelter - old]], 1), "")</f>
        <v>-0.2</v>
      </c>
      <c r="AK42" s="11">
        <f>IFERROR(ROUND((tblPiNHistorical[[#This Row],[WASH - new]]-tblPiNHistorical[[#This Row],[WASH - old]])/tblPiNHistorical[[#This Row],[WASH - old]], 1), "")</f>
        <v>-0.4</v>
      </c>
    </row>
    <row r="43" spans="1:37" ht="17.649999999999999" customHeight="1" x14ac:dyDescent="0.25">
      <c r="A43" s="97" t="s">
        <v>343</v>
      </c>
      <c r="B43" s="65" t="s">
        <v>353</v>
      </c>
      <c r="C43" s="65" t="s">
        <v>318</v>
      </c>
      <c r="D43" s="40" t="s">
        <v>178</v>
      </c>
      <c r="E43" s="37">
        <v>29256</v>
      </c>
      <c r="F43" s="98">
        <v>0</v>
      </c>
      <c r="G43" s="99">
        <v>1146.6132680636472</v>
      </c>
      <c r="H43" s="99">
        <v>2027</v>
      </c>
      <c r="I43" s="99">
        <v>13852</v>
      </c>
      <c r="J43" s="99">
        <v>7141</v>
      </c>
      <c r="K43" s="99">
        <v>2197</v>
      </c>
      <c r="L43" s="100">
        <v>13391</v>
      </c>
      <c r="M43" s="113">
        <v>5579.375</v>
      </c>
      <c r="N43" s="101">
        <v>327</v>
      </c>
      <c r="O43" s="101">
        <v>2941</v>
      </c>
      <c r="P43" s="99">
        <v>2715</v>
      </c>
      <c r="Q43" s="99">
        <v>15091</v>
      </c>
      <c r="R43" s="99">
        <v>7628</v>
      </c>
      <c r="S43" s="99">
        <v>2539</v>
      </c>
      <c r="T43" s="99">
        <v>0</v>
      </c>
      <c r="U43" s="99">
        <v>6001</v>
      </c>
      <c r="V43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43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1794.3867319363528</v>
      </c>
      <c r="X43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688</v>
      </c>
      <c r="Y43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1239</v>
      </c>
      <c r="Z43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487</v>
      </c>
      <c r="AA43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342</v>
      </c>
      <c r="AB43" s="103" t="str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/>
      </c>
      <c r="AC43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421.625</v>
      </c>
      <c r="AD43" s="115" t="str">
        <f>IFERROR(ROUND((tblPiNHistorical[[#This Row],[CCCM - new]] - tblPiNHistorical[[#This Row],[CCCM - old]])/tblPiNHistorical[[#This Row],[CCCM - old]], 1), "")</f>
        <v/>
      </c>
      <c r="AE43" s="104">
        <f>IFERROR(ROUND((tblPiNHistorical[[#This Row],[Education - new]]-tblPiNHistorical[[#This Row],[Education - old]])/tblPiNHistorical[[#This Row],[Education - old]], 1), "")</f>
        <v>1.6</v>
      </c>
      <c r="AF43" s="104">
        <f>IFERROR(ROUND((tblPiNHistorical[[#This Row],[Nutrition - new]]-tblPiNHistorical[[#This Row],[Nutrition - old]])/tblPiNHistorical[[#This Row],[Nutrition - old]], 1), "")</f>
        <v>0.3</v>
      </c>
      <c r="AG43" s="104">
        <f>IFERROR(ROUND((tblPiNHistorical[[#This Row],[Food Security - new]]-tblPiNHistorical[[#This Row],[Food Security - old]])/tblPiNHistorical[[#This Row],[Food Security - old]], 1), "")</f>
        <v>0.1</v>
      </c>
      <c r="AH43" s="104">
        <f>IFERROR(ROUND((tblPiNHistorical[[#This Row],[Health - new]]-tblPiNHistorical[[#This Row],[Health - old]])/tblPiNHistorical[[#This Row],[Health - old]], 1), "")</f>
        <v>0.1</v>
      </c>
      <c r="AI43" s="104">
        <f>IFERROR(ROUND((tblPiNHistorical[[#This Row],[Overarching Protection - new]]-tblPiNHistorical[[#This Row],[Overarching Protection - old]])/tblPiNHistorical[[#This Row],[Overarching Protection - old]], 1), "")</f>
        <v>0.2</v>
      </c>
      <c r="AJ43" s="104">
        <f>IFERROR(ROUND((tblPiNHistorical[[#This Row],[Shelter - new]]-tblPiNHistorical[[#This Row],[Shelter - old]])/tblPiNHistorical[[#This Row],[Shelter - old]], 1), "")</f>
        <v>-1</v>
      </c>
      <c r="AK43" s="11">
        <f>IFERROR(ROUND((tblPiNHistorical[[#This Row],[WASH - new]]-tblPiNHistorical[[#This Row],[WASH - old]])/tblPiNHistorical[[#This Row],[WASH - old]], 1), "")</f>
        <v>0.1</v>
      </c>
    </row>
    <row r="44" spans="1:37" ht="17.649999999999999" customHeight="1" x14ac:dyDescent="0.25">
      <c r="A44" s="97" t="s">
        <v>343</v>
      </c>
      <c r="B44" s="65" t="s">
        <v>353</v>
      </c>
      <c r="C44" s="65" t="s">
        <v>306</v>
      </c>
      <c r="D44" s="40" t="s">
        <v>166</v>
      </c>
      <c r="E44" s="37">
        <v>46806</v>
      </c>
      <c r="F44" s="98">
        <v>0</v>
      </c>
      <c r="G44" s="99">
        <v>3417.811779605649</v>
      </c>
      <c r="H44" s="99">
        <v>3165</v>
      </c>
      <c r="I44" s="99">
        <v>21631</v>
      </c>
      <c r="J44" s="99">
        <v>28236</v>
      </c>
      <c r="K44" s="99">
        <v>6683</v>
      </c>
      <c r="L44" s="100">
        <v>28510</v>
      </c>
      <c r="M44" s="113">
        <v>18999.183000000001</v>
      </c>
      <c r="N44" s="101">
        <v>2175</v>
      </c>
      <c r="O44" s="101">
        <v>4655</v>
      </c>
      <c r="P44" s="99">
        <v>4324</v>
      </c>
      <c r="Q44" s="99">
        <v>23566</v>
      </c>
      <c r="R44" s="99">
        <v>14684</v>
      </c>
      <c r="S44" s="99">
        <v>7925</v>
      </c>
      <c r="T44" s="99">
        <v>12630</v>
      </c>
      <c r="U44" s="99">
        <v>8804</v>
      </c>
      <c r="V44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44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1237.188220394351</v>
      </c>
      <c r="X44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1159</v>
      </c>
      <c r="Y44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1935</v>
      </c>
      <c r="Z44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-13552</v>
      </c>
      <c r="AA44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1242</v>
      </c>
      <c r="AB44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-15880</v>
      </c>
      <c r="AC44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-10195.183000000001</v>
      </c>
      <c r="AD44" s="115" t="str">
        <f>IFERROR(ROUND((tblPiNHistorical[[#This Row],[CCCM - new]] - tblPiNHistorical[[#This Row],[CCCM - old]])/tblPiNHistorical[[#This Row],[CCCM - old]], 1), "")</f>
        <v/>
      </c>
      <c r="AE44" s="104">
        <f>IFERROR(ROUND((tblPiNHistorical[[#This Row],[Education - new]]-tblPiNHistorical[[#This Row],[Education - old]])/tblPiNHistorical[[#This Row],[Education - old]], 1), "")</f>
        <v>0.4</v>
      </c>
      <c r="AF44" s="104">
        <f>IFERROR(ROUND((tblPiNHistorical[[#This Row],[Nutrition - new]]-tblPiNHistorical[[#This Row],[Nutrition - old]])/tblPiNHistorical[[#This Row],[Nutrition - old]], 1), "")</f>
        <v>0.4</v>
      </c>
      <c r="AG44" s="104">
        <f>IFERROR(ROUND((tblPiNHistorical[[#This Row],[Food Security - new]]-tblPiNHistorical[[#This Row],[Food Security - old]])/tblPiNHistorical[[#This Row],[Food Security - old]], 1), "")</f>
        <v>0.1</v>
      </c>
      <c r="AH44" s="104">
        <f>IFERROR(ROUND((tblPiNHistorical[[#This Row],[Health - new]]-tblPiNHistorical[[#This Row],[Health - old]])/tblPiNHistorical[[#This Row],[Health - old]], 1), "")</f>
        <v>-0.5</v>
      </c>
      <c r="AI44" s="104">
        <f>IFERROR(ROUND((tblPiNHistorical[[#This Row],[Overarching Protection - new]]-tblPiNHistorical[[#This Row],[Overarching Protection - old]])/tblPiNHistorical[[#This Row],[Overarching Protection - old]], 1), "")</f>
        <v>0.2</v>
      </c>
      <c r="AJ44" s="104">
        <f>IFERROR(ROUND((tblPiNHistorical[[#This Row],[Shelter - new]]-tblPiNHistorical[[#This Row],[Shelter - old]])/tblPiNHistorical[[#This Row],[Shelter - old]], 1), "")</f>
        <v>-0.6</v>
      </c>
      <c r="AK44" s="11">
        <f>IFERROR(ROUND((tblPiNHistorical[[#This Row],[WASH - new]]-tblPiNHistorical[[#This Row],[WASH - old]])/tblPiNHistorical[[#This Row],[WASH - old]], 1), "")</f>
        <v>-0.5</v>
      </c>
    </row>
    <row r="45" spans="1:37" ht="17.649999999999999" customHeight="1" x14ac:dyDescent="0.25">
      <c r="A45" s="97" t="s">
        <v>343</v>
      </c>
      <c r="B45" s="65" t="s">
        <v>353</v>
      </c>
      <c r="C45" s="65" t="s">
        <v>278</v>
      </c>
      <c r="D45" s="40" t="s">
        <v>138</v>
      </c>
      <c r="E45" s="37">
        <v>11101</v>
      </c>
      <c r="F45" s="98">
        <v>0</v>
      </c>
      <c r="G45" s="99">
        <v>511.71807549743147</v>
      </c>
      <c r="H45" s="99">
        <v>771</v>
      </c>
      <c r="I45" s="99">
        <v>5270</v>
      </c>
      <c r="J45" s="99">
        <v>1044</v>
      </c>
      <c r="K45" s="99">
        <v>1044</v>
      </c>
      <c r="L45" s="100">
        <v>4980</v>
      </c>
      <c r="M45" s="113">
        <v>2988</v>
      </c>
      <c r="N45" s="101">
        <v>78</v>
      </c>
      <c r="O45" s="101">
        <v>1124</v>
      </c>
      <c r="P45" s="99">
        <v>1031</v>
      </c>
      <c r="Q45" s="99">
        <v>5742</v>
      </c>
      <c r="R45" s="99">
        <v>2633</v>
      </c>
      <c r="S45" s="99">
        <v>2365</v>
      </c>
      <c r="T45" s="99">
        <v>0</v>
      </c>
      <c r="U45" s="99">
        <v>1546</v>
      </c>
      <c r="V45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45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612.28192450256847</v>
      </c>
      <c r="X45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260</v>
      </c>
      <c r="Y45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472</v>
      </c>
      <c r="Z45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1589</v>
      </c>
      <c r="AA45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1321</v>
      </c>
      <c r="AB45" s="103" t="str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/>
      </c>
      <c r="AC45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-1442</v>
      </c>
      <c r="AD45" s="115" t="str">
        <f>IFERROR(ROUND((tblPiNHistorical[[#This Row],[CCCM - new]] - tblPiNHistorical[[#This Row],[CCCM - old]])/tblPiNHistorical[[#This Row],[CCCM - old]], 1), "")</f>
        <v/>
      </c>
      <c r="AE45" s="104">
        <f>IFERROR(ROUND((tblPiNHistorical[[#This Row],[Education - new]]-tblPiNHistorical[[#This Row],[Education - old]])/tblPiNHistorical[[#This Row],[Education - old]], 1), "")</f>
        <v>1.2</v>
      </c>
      <c r="AF45" s="104">
        <f>IFERROR(ROUND((tblPiNHistorical[[#This Row],[Nutrition - new]]-tblPiNHistorical[[#This Row],[Nutrition - old]])/tblPiNHistorical[[#This Row],[Nutrition - old]], 1), "")</f>
        <v>0.3</v>
      </c>
      <c r="AG45" s="104">
        <f>IFERROR(ROUND((tblPiNHistorical[[#This Row],[Food Security - new]]-tblPiNHistorical[[#This Row],[Food Security - old]])/tblPiNHistorical[[#This Row],[Food Security - old]], 1), "")</f>
        <v>0.1</v>
      </c>
      <c r="AH45" s="104">
        <f>IFERROR(ROUND((tblPiNHistorical[[#This Row],[Health - new]]-tblPiNHistorical[[#This Row],[Health - old]])/tblPiNHistorical[[#This Row],[Health - old]], 1), "")</f>
        <v>1.5</v>
      </c>
      <c r="AI45" s="104">
        <f>IFERROR(ROUND((tblPiNHistorical[[#This Row],[Overarching Protection - new]]-tblPiNHistorical[[#This Row],[Overarching Protection - old]])/tblPiNHistorical[[#This Row],[Overarching Protection - old]], 1), "")</f>
        <v>1.3</v>
      </c>
      <c r="AJ45" s="104">
        <f>IFERROR(ROUND((tblPiNHistorical[[#This Row],[Shelter - new]]-tblPiNHistorical[[#This Row],[Shelter - old]])/tblPiNHistorical[[#This Row],[Shelter - old]], 1), "")</f>
        <v>-1</v>
      </c>
      <c r="AK45" s="11">
        <f>IFERROR(ROUND((tblPiNHistorical[[#This Row],[WASH - new]]-tblPiNHistorical[[#This Row],[WASH - old]])/tblPiNHistorical[[#This Row],[WASH - old]], 1), "")</f>
        <v>-0.5</v>
      </c>
    </row>
    <row r="46" spans="1:37" ht="17.649999999999999" customHeight="1" x14ac:dyDescent="0.25">
      <c r="A46" s="97" t="s">
        <v>343</v>
      </c>
      <c r="B46" s="65" t="s">
        <v>353</v>
      </c>
      <c r="C46" s="65" t="s">
        <v>225</v>
      </c>
      <c r="D46" s="40" t="s">
        <v>85</v>
      </c>
      <c r="E46" s="37">
        <v>70765</v>
      </c>
      <c r="F46" s="98">
        <v>0</v>
      </c>
      <c r="G46" s="99">
        <v>2224.3167099464786</v>
      </c>
      <c r="H46" s="99">
        <v>4896</v>
      </c>
      <c r="I46" s="99">
        <v>20076</v>
      </c>
      <c r="J46" s="99">
        <v>3940</v>
      </c>
      <c r="K46" s="99">
        <v>7364</v>
      </c>
      <c r="L46" s="100">
        <v>25976</v>
      </c>
      <c r="M46" s="113">
        <v>12988.125</v>
      </c>
      <c r="N46" s="101">
        <v>933</v>
      </c>
      <c r="O46" s="101">
        <v>7248</v>
      </c>
      <c r="P46" s="99">
        <v>6567</v>
      </c>
      <c r="Q46" s="99">
        <v>32807</v>
      </c>
      <c r="R46" s="99">
        <v>18204</v>
      </c>
      <c r="S46" s="99">
        <v>15209</v>
      </c>
      <c r="T46" s="99">
        <v>26304</v>
      </c>
      <c r="U46" s="99">
        <v>10876</v>
      </c>
      <c r="V46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46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5023.683290053521</v>
      </c>
      <c r="X46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1671</v>
      </c>
      <c r="Y46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12731</v>
      </c>
      <c r="Z46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14264</v>
      </c>
      <c r="AA46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7845</v>
      </c>
      <c r="AB46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328</v>
      </c>
      <c r="AC46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-2112.125</v>
      </c>
      <c r="AD46" s="115" t="str">
        <f>IFERROR(ROUND((tblPiNHistorical[[#This Row],[CCCM - new]] - tblPiNHistorical[[#This Row],[CCCM - old]])/tblPiNHistorical[[#This Row],[CCCM - old]], 1), "")</f>
        <v/>
      </c>
      <c r="AE46" s="104">
        <f>IFERROR(ROUND((tblPiNHistorical[[#This Row],[Education - new]]-tblPiNHistorical[[#This Row],[Education - old]])/tblPiNHistorical[[#This Row],[Education - old]], 1), "")</f>
        <v>2.2999999999999998</v>
      </c>
      <c r="AF46" s="104">
        <f>IFERROR(ROUND((tblPiNHistorical[[#This Row],[Nutrition - new]]-tblPiNHistorical[[#This Row],[Nutrition - old]])/tblPiNHistorical[[#This Row],[Nutrition - old]], 1), "")</f>
        <v>0.3</v>
      </c>
      <c r="AG46" s="104">
        <f>IFERROR(ROUND((tblPiNHistorical[[#This Row],[Food Security - new]]-tblPiNHistorical[[#This Row],[Food Security - old]])/tblPiNHistorical[[#This Row],[Food Security - old]], 1), "")</f>
        <v>0.6</v>
      </c>
      <c r="AH46" s="104">
        <f>IFERROR(ROUND((tblPiNHistorical[[#This Row],[Health - new]]-tblPiNHistorical[[#This Row],[Health - old]])/tblPiNHistorical[[#This Row],[Health - old]], 1), "")</f>
        <v>3.6</v>
      </c>
      <c r="AI46" s="104">
        <f>IFERROR(ROUND((tblPiNHistorical[[#This Row],[Overarching Protection - new]]-tblPiNHistorical[[#This Row],[Overarching Protection - old]])/tblPiNHistorical[[#This Row],[Overarching Protection - old]], 1), "")</f>
        <v>1.1000000000000001</v>
      </c>
      <c r="AJ46" s="104">
        <f>IFERROR(ROUND((tblPiNHistorical[[#This Row],[Shelter - new]]-tblPiNHistorical[[#This Row],[Shelter - old]])/tblPiNHistorical[[#This Row],[Shelter - old]], 1), "")</f>
        <v>0</v>
      </c>
      <c r="AK46" s="11">
        <f>IFERROR(ROUND((tblPiNHistorical[[#This Row],[WASH - new]]-tblPiNHistorical[[#This Row],[WASH - old]])/tblPiNHistorical[[#This Row],[WASH - old]], 1), "")</f>
        <v>-0.2</v>
      </c>
    </row>
    <row r="47" spans="1:37" ht="17.649999999999999" customHeight="1" x14ac:dyDescent="0.25">
      <c r="A47" s="97" t="s">
        <v>343</v>
      </c>
      <c r="B47" s="65" t="s">
        <v>353</v>
      </c>
      <c r="C47" s="65" t="s">
        <v>315</v>
      </c>
      <c r="D47" s="40" t="s">
        <v>175</v>
      </c>
      <c r="E47" s="37">
        <v>52745</v>
      </c>
      <c r="F47" s="98">
        <v>0</v>
      </c>
      <c r="G47" s="99">
        <v>2019.7707673687523</v>
      </c>
      <c r="H47" s="99">
        <v>3649</v>
      </c>
      <c r="I47" s="99">
        <v>14964</v>
      </c>
      <c r="J47" s="99">
        <v>8042</v>
      </c>
      <c r="K47" s="99">
        <v>4532</v>
      </c>
      <c r="L47" s="100">
        <v>20967</v>
      </c>
      <c r="M47" s="113">
        <v>7862.5</v>
      </c>
      <c r="N47" s="101">
        <v>695</v>
      </c>
      <c r="O47" s="101">
        <v>5070</v>
      </c>
      <c r="P47" s="99">
        <v>4894</v>
      </c>
      <c r="Q47" s="99">
        <v>24452</v>
      </c>
      <c r="R47" s="99">
        <v>14687</v>
      </c>
      <c r="S47" s="99">
        <v>4805</v>
      </c>
      <c r="T47" s="99">
        <v>0</v>
      </c>
      <c r="U47" s="99">
        <v>11491</v>
      </c>
      <c r="V47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47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3050.2292326312477</v>
      </c>
      <c r="X47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1245</v>
      </c>
      <c r="Y47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9488</v>
      </c>
      <c r="Z47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6645</v>
      </c>
      <c r="AA47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273</v>
      </c>
      <c r="AB47" s="103" t="str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/>
      </c>
      <c r="AC47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3628.5</v>
      </c>
      <c r="AD47" s="115" t="str">
        <f>IFERROR(ROUND((tblPiNHistorical[[#This Row],[CCCM - new]] - tblPiNHistorical[[#This Row],[CCCM - old]])/tblPiNHistorical[[#This Row],[CCCM - old]], 1), "")</f>
        <v/>
      </c>
      <c r="AE47" s="104">
        <f>IFERROR(ROUND((tblPiNHistorical[[#This Row],[Education - new]]-tblPiNHistorical[[#This Row],[Education - old]])/tblPiNHistorical[[#This Row],[Education - old]], 1), "")</f>
        <v>1.5</v>
      </c>
      <c r="AF47" s="104">
        <f>IFERROR(ROUND((tblPiNHistorical[[#This Row],[Nutrition - new]]-tblPiNHistorical[[#This Row],[Nutrition - old]])/tblPiNHistorical[[#This Row],[Nutrition - old]], 1), "")</f>
        <v>0.3</v>
      </c>
      <c r="AG47" s="104">
        <f>IFERROR(ROUND((tblPiNHistorical[[#This Row],[Food Security - new]]-tblPiNHistorical[[#This Row],[Food Security - old]])/tblPiNHistorical[[#This Row],[Food Security - old]], 1), "")</f>
        <v>0.6</v>
      </c>
      <c r="AH47" s="104">
        <f>IFERROR(ROUND((tblPiNHistorical[[#This Row],[Health - new]]-tblPiNHistorical[[#This Row],[Health - old]])/tblPiNHistorical[[#This Row],[Health - old]], 1), "")</f>
        <v>0.8</v>
      </c>
      <c r="AI47" s="104">
        <f>IFERROR(ROUND((tblPiNHistorical[[#This Row],[Overarching Protection - new]]-tblPiNHistorical[[#This Row],[Overarching Protection - old]])/tblPiNHistorical[[#This Row],[Overarching Protection - old]], 1), "")</f>
        <v>0.1</v>
      </c>
      <c r="AJ47" s="104">
        <f>IFERROR(ROUND((tblPiNHistorical[[#This Row],[Shelter - new]]-tblPiNHistorical[[#This Row],[Shelter - old]])/tblPiNHistorical[[#This Row],[Shelter - old]], 1), "")</f>
        <v>-1</v>
      </c>
      <c r="AK47" s="11">
        <f>IFERROR(ROUND((tblPiNHistorical[[#This Row],[WASH - new]]-tblPiNHistorical[[#This Row],[WASH - old]])/tblPiNHistorical[[#This Row],[WASH - old]], 1), "")</f>
        <v>0.5</v>
      </c>
    </row>
    <row r="48" spans="1:37" ht="17.649999999999999" customHeight="1" x14ac:dyDescent="0.25">
      <c r="A48" s="97" t="s">
        <v>343</v>
      </c>
      <c r="B48" s="65" t="s">
        <v>353</v>
      </c>
      <c r="C48" s="65" t="s">
        <v>284</v>
      </c>
      <c r="D48" s="40" t="s">
        <v>144</v>
      </c>
      <c r="E48" s="37">
        <v>90050</v>
      </c>
      <c r="F48" s="98">
        <v>0</v>
      </c>
      <c r="G48" s="99">
        <v>3649.3950351583262</v>
      </c>
      <c r="H48" s="99">
        <v>6240</v>
      </c>
      <c r="I48" s="99">
        <v>25591</v>
      </c>
      <c r="J48" s="99">
        <v>22801</v>
      </c>
      <c r="K48" s="99">
        <v>6695</v>
      </c>
      <c r="L48" s="100">
        <v>31964</v>
      </c>
      <c r="M48" s="113">
        <v>17087.277499999997</v>
      </c>
      <c r="N48" s="101">
        <v>963</v>
      </c>
      <c r="O48" s="101">
        <v>8078</v>
      </c>
      <c r="P48" s="99">
        <v>8360</v>
      </c>
      <c r="Q48" s="99">
        <v>41818</v>
      </c>
      <c r="R48" s="99">
        <v>23856</v>
      </c>
      <c r="S48" s="99">
        <v>7661</v>
      </c>
      <c r="T48" s="99">
        <v>26822</v>
      </c>
      <c r="U48" s="99">
        <v>14406</v>
      </c>
      <c r="V48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48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4428.6049648416738</v>
      </c>
      <c r="X48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2120</v>
      </c>
      <c r="Y48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16227</v>
      </c>
      <c r="Z48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1055</v>
      </c>
      <c r="AA48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966</v>
      </c>
      <c r="AB48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-5142</v>
      </c>
      <c r="AC48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-2681.2774999999965</v>
      </c>
      <c r="AD48" s="115" t="str">
        <f>IFERROR(ROUND((tblPiNHistorical[[#This Row],[CCCM - new]] - tblPiNHistorical[[#This Row],[CCCM - old]])/tblPiNHistorical[[#This Row],[CCCM - old]], 1), "")</f>
        <v/>
      </c>
      <c r="AE48" s="104">
        <f>IFERROR(ROUND((tblPiNHistorical[[#This Row],[Education - new]]-tblPiNHistorical[[#This Row],[Education - old]])/tblPiNHistorical[[#This Row],[Education - old]], 1), "")</f>
        <v>1.2</v>
      </c>
      <c r="AF48" s="104">
        <f>IFERROR(ROUND((tblPiNHistorical[[#This Row],[Nutrition - new]]-tblPiNHistorical[[#This Row],[Nutrition - old]])/tblPiNHistorical[[#This Row],[Nutrition - old]], 1), "")</f>
        <v>0.3</v>
      </c>
      <c r="AG48" s="104">
        <f>IFERROR(ROUND((tblPiNHistorical[[#This Row],[Food Security - new]]-tblPiNHistorical[[#This Row],[Food Security - old]])/tblPiNHistorical[[#This Row],[Food Security - old]], 1), "")</f>
        <v>0.6</v>
      </c>
      <c r="AH48" s="104">
        <f>IFERROR(ROUND((tblPiNHistorical[[#This Row],[Health - new]]-tblPiNHistorical[[#This Row],[Health - old]])/tblPiNHistorical[[#This Row],[Health - old]], 1), "")</f>
        <v>0</v>
      </c>
      <c r="AI48" s="104">
        <f>IFERROR(ROUND((tblPiNHistorical[[#This Row],[Overarching Protection - new]]-tblPiNHistorical[[#This Row],[Overarching Protection - old]])/tblPiNHistorical[[#This Row],[Overarching Protection - old]], 1), "")</f>
        <v>0.1</v>
      </c>
      <c r="AJ48" s="104">
        <f>IFERROR(ROUND((tblPiNHistorical[[#This Row],[Shelter - new]]-tblPiNHistorical[[#This Row],[Shelter - old]])/tblPiNHistorical[[#This Row],[Shelter - old]], 1), "")</f>
        <v>-0.2</v>
      </c>
      <c r="AK48" s="11">
        <f>IFERROR(ROUND((tblPiNHistorical[[#This Row],[WASH - new]]-tblPiNHistorical[[#This Row],[WASH - old]])/tblPiNHistorical[[#This Row],[WASH - old]], 1), "")</f>
        <v>-0.2</v>
      </c>
    </row>
    <row r="49" spans="1:37" ht="17.649999999999999" customHeight="1" x14ac:dyDescent="0.25">
      <c r="A49" s="97" t="s">
        <v>343</v>
      </c>
      <c r="B49" s="65" t="s">
        <v>353</v>
      </c>
      <c r="C49" s="65" t="s">
        <v>218</v>
      </c>
      <c r="D49" s="40" t="s">
        <v>78</v>
      </c>
      <c r="E49" s="37">
        <v>22052</v>
      </c>
      <c r="F49" s="98">
        <v>0</v>
      </c>
      <c r="G49" s="99">
        <v>2157.7830846684492</v>
      </c>
      <c r="H49" s="99">
        <v>1529</v>
      </c>
      <c r="I49" s="99">
        <v>6270</v>
      </c>
      <c r="J49" s="99">
        <v>20059</v>
      </c>
      <c r="K49" s="99">
        <v>3797</v>
      </c>
      <c r="L49" s="100">
        <v>16800</v>
      </c>
      <c r="M49" s="113">
        <v>17075.0118</v>
      </c>
      <c r="N49" s="101">
        <v>219</v>
      </c>
      <c r="O49" s="101">
        <v>2182</v>
      </c>
      <c r="P49" s="99">
        <v>2048</v>
      </c>
      <c r="Q49" s="99">
        <v>10245</v>
      </c>
      <c r="R49" s="99">
        <v>5401</v>
      </c>
      <c r="S49" s="99">
        <v>4441</v>
      </c>
      <c r="T49" s="99">
        <v>6846</v>
      </c>
      <c r="U49" s="99">
        <v>4186</v>
      </c>
      <c r="V49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49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24.216915331550808</v>
      </c>
      <c r="X49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519</v>
      </c>
      <c r="Y49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3975</v>
      </c>
      <c r="Z49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-14658</v>
      </c>
      <c r="AA49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644</v>
      </c>
      <c r="AB49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-9954</v>
      </c>
      <c r="AC49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-12889.0118</v>
      </c>
      <c r="AD49" s="115" t="str">
        <f>IFERROR(ROUND((tblPiNHistorical[[#This Row],[CCCM - new]] - tblPiNHistorical[[#This Row],[CCCM - old]])/tblPiNHistorical[[#This Row],[CCCM - old]], 1), "")</f>
        <v/>
      </c>
      <c r="AE49" s="104">
        <f>IFERROR(ROUND((tblPiNHistorical[[#This Row],[Education - new]]-tblPiNHistorical[[#This Row],[Education - old]])/tblPiNHistorical[[#This Row],[Education - old]], 1), "")</f>
        <v>0</v>
      </c>
      <c r="AF49" s="104">
        <f>IFERROR(ROUND((tblPiNHistorical[[#This Row],[Nutrition - new]]-tblPiNHistorical[[#This Row],[Nutrition - old]])/tblPiNHistorical[[#This Row],[Nutrition - old]], 1), "")</f>
        <v>0.3</v>
      </c>
      <c r="AG49" s="104">
        <f>IFERROR(ROUND((tblPiNHistorical[[#This Row],[Food Security - new]]-tblPiNHistorical[[#This Row],[Food Security - old]])/tblPiNHistorical[[#This Row],[Food Security - old]], 1), "")</f>
        <v>0.6</v>
      </c>
      <c r="AH49" s="104">
        <f>IFERROR(ROUND((tblPiNHistorical[[#This Row],[Health - new]]-tblPiNHistorical[[#This Row],[Health - old]])/tblPiNHistorical[[#This Row],[Health - old]], 1), "")</f>
        <v>-0.7</v>
      </c>
      <c r="AI49" s="104">
        <f>IFERROR(ROUND((tblPiNHistorical[[#This Row],[Overarching Protection - new]]-tblPiNHistorical[[#This Row],[Overarching Protection - old]])/tblPiNHistorical[[#This Row],[Overarching Protection - old]], 1), "")</f>
        <v>0.2</v>
      </c>
      <c r="AJ49" s="104">
        <f>IFERROR(ROUND((tblPiNHistorical[[#This Row],[Shelter - new]]-tblPiNHistorical[[#This Row],[Shelter - old]])/tblPiNHistorical[[#This Row],[Shelter - old]], 1), "")</f>
        <v>-0.6</v>
      </c>
      <c r="AK49" s="11">
        <f>IFERROR(ROUND((tblPiNHistorical[[#This Row],[WASH - new]]-tblPiNHistorical[[#This Row],[WASH - old]])/tblPiNHistorical[[#This Row],[WASH - old]], 1), "")</f>
        <v>-0.8</v>
      </c>
    </row>
    <row r="50" spans="1:37" ht="17.649999999999999" customHeight="1" x14ac:dyDescent="0.25">
      <c r="A50" s="97" t="s">
        <v>343</v>
      </c>
      <c r="B50" s="65" t="s">
        <v>353</v>
      </c>
      <c r="C50" s="65" t="s">
        <v>309</v>
      </c>
      <c r="D50" s="40" t="s">
        <v>169</v>
      </c>
      <c r="E50" s="37">
        <v>76929</v>
      </c>
      <c r="F50" s="98">
        <v>0</v>
      </c>
      <c r="G50" s="99">
        <v>2247.8218323902611</v>
      </c>
      <c r="H50" s="99">
        <v>5090</v>
      </c>
      <c r="I50" s="99">
        <v>20875</v>
      </c>
      <c r="J50" s="99">
        <v>18981</v>
      </c>
      <c r="K50" s="99">
        <v>4412</v>
      </c>
      <c r="L50" s="100">
        <v>20417</v>
      </c>
      <c r="M50" s="113">
        <v>16037.458199999997</v>
      </c>
      <c r="N50" s="101">
        <v>5939</v>
      </c>
      <c r="O50" s="101">
        <v>7676</v>
      </c>
      <c r="P50" s="99">
        <v>7080</v>
      </c>
      <c r="Q50" s="99">
        <v>34112</v>
      </c>
      <c r="R50" s="99">
        <v>28788</v>
      </c>
      <c r="S50" s="99">
        <v>6299</v>
      </c>
      <c r="T50" s="99">
        <v>25540</v>
      </c>
      <c r="U50" s="99">
        <v>25778</v>
      </c>
      <c r="V50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50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5428.1781676097389</v>
      </c>
      <c r="X50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1990</v>
      </c>
      <c r="Y50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13237</v>
      </c>
      <c r="Z50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9807</v>
      </c>
      <c r="AA50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1887</v>
      </c>
      <c r="AB50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5123</v>
      </c>
      <c r="AC50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9740.5418000000027</v>
      </c>
      <c r="AD50" s="115" t="str">
        <f>IFERROR(ROUND((tblPiNHistorical[[#This Row],[CCCM - new]] - tblPiNHistorical[[#This Row],[CCCM - old]])/tblPiNHistorical[[#This Row],[CCCM - old]], 1), "")</f>
        <v/>
      </c>
      <c r="AE50" s="104">
        <f>IFERROR(ROUND((tblPiNHistorical[[#This Row],[Education - new]]-tblPiNHistorical[[#This Row],[Education - old]])/tblPiNHistorical[[#This Row],[Education - old]], 1), "")</f>
        <v>2.4</v>
      </c>
      <c r="AF50" s="104">
        <f>IFERROR(ROUND((tblPiNHistorical[[#This Row],[Nutrition - new]]-tblPiNHistorical[[#This Row],[Nutrition - old]])/tblPiNHistorical[[#This Row],[Nutrition - old]], 1), "")</f>
        <v>0.4</v>
      </c>
      <c r="AG50" s="104">
        <f>IFERROR(ROUND((tblPiNHistorical[[#This Row],[Food Security - new]]-tblPiNHistorical[[#This Row],[Food Security - old]])/tblPiNHistorical[[#This Row],[Food Security - old]], 1), "")</f>
        <v>0.6</v>
      </c>
      <c r="AH50" s="104">
        <f>IFERROR(ROUND((tblPiNHistorical[[#This Row],[Health - new]]-tblPiNHistorical[[#This Row],[Health - old]])/tblPiNHistorical[[#This Row],[Health - old]], 1), "")</f>
        <v>0.5</v>
      </c>
      <c r="AI50" s="104">
        <f>IFERROR(ROUND((tblPiNHistorical[[#This Row],[Overarching Protection - new]]-tblPiNHistorical[[#This Row],[Overarching Protection - old]])/tblPiNHistorical[[#This Row],[Overarching Protection - old]], 1), "")</f>
        <v>0.4</v>
      </c>
      <c r="AJ50" s="104">
        <f>IFERROR(ROUND((tblPiNHistorical[[#This Row],[Shelter - new]]-tblPiNHistorical[[#This Row],[Shelter - old]])/tblPiNHistorical[[#This Row],[Shelter - old]], 1), "")</f>
        <v>0.3</v>
      </c>
      <c r="AK50" s="11">
        <f>IFERROR(ROUND((tblPiNHistorical[[#This Row],[WASH - new]]-tblPiNHistorical[[#This Row],[WASH - old]])/tblPiNHistorical[[#This Row],[WASH - old]], 1), "")</f>
        <v>0.6</v>
      </c>
    </row>
    <row r="51" spans="1:37" ht="17.649999999999999" customHeight="1" x14ac:dyDescent="0.25">
      <c r="A51" s="97" t="s">
        <v>343</v>
      </c>
      <c r="B51" s="65" t="s">
        <v>353</v>
      </c>
      <c r="C51" s="65" t="s">
        <v>307</v>
      </c>
      <c r="D51" s="40" t="s">
        <v>167</v>
      </c>
      <c r="E51" s="37">
        <v>60535</v>
      </c>
      <c r="F51" s="98">
        <v>0</v>
      </c>
      <c r="G51" s="99">
        <v>2179.0404495014868</v>
      </c>
      <c r="H51" s="99">
        <v>3954</v>
      </c>
      <c r="I51" s="99">
        <v>16216</v>
      </c>
      <c r="J51" s="99">
        <v>13230</v>
      </c>
      <c r="K51" s="99">
        <v>4397</v>
      </c>
      <c r="L51" s="100">
        <v>22620</v>
      </c>
      <c r="M51" s="113">
        <v>22614.345000000001</v>
      </c>
      <c r="N51" s="101">
        <v>5778</v>
      </c>
      <c r="O51" s="101">
        <v>6294</v>
      </c>
      <c r="P51" s="99">
        <v>5557</v>
      </c>
      <c r="Q51" s="99">
        <v>26497</v>
      </c>
      <c r="R51" s="99">
        <v>21869</v>
      </c>
      <c r="S51" s="99">
        <v>5733</v>
      </c>
      <c r="T51" s="99">
        <v>39314</v>
      </c>
      <c r="U51" s="99">
        <v>16822</v>
      </c>
      <c r="V51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51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4114.9595504985136</v>
      </c>
      <c r="X51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1603</v>
      </c>
      <c r="Y51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10281</v>
      </c>
      <c r="Z51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8639</v>
      </c>
      <c r="AA51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1336</v>
      </c>
      <c r="AB51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16694</v>
      </c>
      <c r="AC51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-5792.3450000000012</v>
      </c>
      <c r="AD51" s="115" t="str">
        <f>IFERROR(ROUND((tblPiNHistorical[[#This Row],[CCCM - new]] - tblPiNHistorical[[#This Row],[CCCM - old]])/tblPiNHistorical[[#This Row],[CCCM - old]], 1), "")</f>
        <v/>
      </c>
      <c r="AE51" s="104">
        <f>IFERROR(ROUND((tblPiNHistorical[[#This Row],[Education - new]]-tblPiNHistorical[[#This Row],[Education - old]])/tblPiNHistorical[[#This Row],[Education - old]], 1), "")</f>
        <v>1.9</v>
      </c>
      <c r="AF51" s="104">
        <f>IFERROR(ROUND((tblPiNHistorical[[#This Row],[Nutrition - new]]-tblPiNHistorical[[#This Row],[Nutrition - old]])/tblPiNHistorical[[#This Row],[Nutrition - old]], 1), "")</f>
        <v>0.4</v>
      </c>
      <c r="AG51" s="104">
        <f>IFERROR(ROUND((tblPiNHistorical[[#This Row],[Food Security - new]]-tblPiNHistorical[[#This Row],[Food Security - old]])/tblPiNHistorical[[#This Row],[Food Security - old]], 1), "")</f>
        <v>0.6</v>
      </c>
      <c r="AH51" s="104">
        <f>IFERROR(ROUND((tblPiNHistorical[[#This Row],[Health - new]]-tblPiNHistorical[[#This Row],[Health - old]])/tblPiNHistorical[[#This Row],[Health - old]], 1), "")</f>
        <v>0.7</v>
      </c>
      <c r="AI51" s="104">
        <f>IFERROR(ROUND((tblPiNHistorical[[#This Row],[Overarching Protection - new]]-tblPiNHistorical[[#This Row],[Overarching Protection - old]])/tblPiNHistorical[[#This Row],[Overarching Protection - old]], 1), "")</f>
        <v>0.3</v>
      </c>
      <c r="AJ51" s="104">
        <f>IFERROR(ROUND((tblPiNHistorical[[#This Row],[Shelter - new]]-tblPiNHistorical[[#This Row],[Shelter - old]])/tblPiNHistorical[[#This Row],[Shelter - old]], 1), "")</f>
        <v>0.7</v>
      </c>
      <c r="AK51" s="11">
        <f>IFERROR(ROUND((tblPiNHistorical[[#This Row],[WASH - new]]-tblPiNHistorical[[#This Row],[WASH - old]])/tblPiNHistorical[[#This Row],[WASH - old]], 1), "")</f>
        <v>-0.3</v>
      </c>
    </row>
    <row r="52" spans="1:37" ht="17.649999999999999" customHeight="1" x14ac:dyDescent="0.25">
      <c r="A52" s="97" t="s">
        <v>351</v>
      </c>
      <c r="B52" s="65" t="s">
        <v>361</v>
      </c>
      <c r="C52" s="65" t="s">
        <v>257</v>
      </c>
      <c r="D52" s="40" t="s">
        <v>117</v>
      </c>
      <c r="E52" s="37">
        <v>40129</v>
      </c>
      <c r="F52" s="98">
        <v>0</v>
      </c>
      <c r="G52" s="99">
        <v>3849.2408318589246</v>
      </c>
      <c r="H52" s="99">
        <v>1852</v>
      </c>
      <c r="I52" s="99">
        <v>15495</v>
      </c>
      <c r="J52" s="99">
        <v>9069</v>
      </c>
      <c r="K52" s="99">
        <v>4972</v>
      </c>
      <c r="L52" s="100">
        <v>19001</v>
      </c>
      <c r="M52" s="113">
        <v>7245.6670000000004</v>
      </c>
      <c r="N52" s="101">
        <v>281</v>
      </c>
      <c r="O52" s="101">
        <v>3734</v>
      </c>
      <c r="P52" s="99">
        <v>3575</v>
      </c>
      <c r="Q52" s="99">
        <v>14418</v>
      </c>
      <c r="R52" s="99">
        <v>9757</v>
      </c>
      <c r="S52" s="99">
        <v>5817</v>
      </c>
      <c r="T52" s="99">
        <v>11319</v>
      </c>
      <c r="U52" s="99">
        <v>3740</v>
      </c>
      <c r="V52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52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-115.24083185892459</v>
      </c>
      <c r="X52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1723</v>
      </c>
      <c r="Y52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-1077</v>
      </c>
      <c r="Z52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688</v>
      </c>
      <c r="AA52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845</v>
      </c>
      <c r="AB52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-7682</v>
      </c>
      <c r="AC52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-3505.6670000000004</v>
      </c>
      <c r="AD52" s="115" t="str">
        <f>IFERROR(ROUND((tblPiNHistorical[[#This Row],[CCCM - new]] - tblPiNHistorical[[#This Row],[CCCM - old]])/tblPiNHistorical[[#This Row],[CCCM - old]], 1), "")</f>
        <v/>
      </c>
      <c r="AE52" s="104">
        <f>IFERROR(ROUND((tblPiNHistorical[[#This Row],[Education - new]]-tblPiNHistorical[[#This Row],[Education - old]])/tblPiNHistorical[[#This Row],[Education - old]], 1), "")</f>
        <v>0</v>
      </c>
      <c r="AF52" s="104">
        <f>IFERROR(ROUND((tblPiNHistorical[[#This Row],[Nutrition - new]]-tblPiNHistorical[[#This Row],[Nutrition - old]])/tblPiNHistorical[[#This Row],[Nutrition - old]], 1), "")</f>
        <v>0.9</v>
      </c>
      <c r="AG52" s="104">
        <f>IFERROR(ROUND((tblPiNHistorical[[#This Row],[Food Security - new]]-tblPiNHistorical[[#This Row],[Food Security - old]])/tblPiNHistorical[[#This Row],[Food Security - old]], 1), "")</f>
        <v>-0.1</v>
      </c>
      <c r="AH52" s="104">
        <f>IFERROR(ROUND((tblPiNHistorical[[#This Row],[Health - new]]-tblPiNHistorical[[#This Row],[Health - old]])/tblPiNHistorical[[#This Row],[Health - old]], 1), "")</f>
        <v>0.1</v>
      </c>
      <c r="AI52" s="104">
        <f>IFERROR(ROUND((tblPiNHistorical[[#This Row],[Overarching Protection - new]]-tblPiNHistorical[[#This Row],[Overarching Protection - old]])/tblPiNHistorical[[#This Row],[Overarching Protection - old]], 1), "")</f>
        <v>0.2</v>
      </c>
      <c r="AJ52" s="104">
        <f>IFERROR(ROUND((tblPiNHistorical[[#This Row],[Shelter - new]]-tblPiNHistorical[[#This Row],[Shelter - old]])/tblPiNHistorical[[#This Row],[Shelter - old]], 1), "")</f>
        <v>-0.4</v>
      </c>
      <c r="AK52" s="11">
        <f>IFERROR(ROUND((tblPiNHistorical[[#This Row],[WASH - new]]-tblPiNHistorical[[#This Row],[WASH - old]])/tblPiNHistorical[[#This Row],[WASH - old]], 1), "")</f>
        <v>-0.5</v>
      </c>
    </row>
    <row r="53" spans="1:37" ht="17.649999999999999" customHeight="1" x14ac:dyDescent="0.25">
      <c r="A53" s="97" t="s">
        <v>351</v>
      </c>
      <c r="B53" s="65" t="s">
        <v>361</v>
      </c>
      <c r="C53" s="65" t="s">
        <v>254</v>
      </c>
      <c r="D53" s="40" t="s">
        <v>114</v>
      </c>
      <c r="E53" s="37">
        <v>17054</v>
      </c>
      <c r="F53" s="98">
        <v>0</v>
      </c>
      <c r="G53" s="99">
        <v>1088.1707883626525</v>
      </c>
      <c r="H53" s="99">
        <v>788</v>
      </c>
      <c r="I53" s="99">
        <v>6589</v>
      </c>
      <c r="J53" s="99">
        <v>27</v>
      </c>
      <c r="K53" s="99">
        <v>1505</v>
      </c>
      <c r="L53" s="100">
        <v>7162</v>
      </c>
      <c r="M53" s="113">
        <v>4476.25</v>
      </c>
      <c r="N53" s="101">
        <v>105</v>
      </c>
      <c r="O53" s="101">
        <v>1723</v>
      </c>
      <c r="P53" s="99">
        <v>1373</v>
      </c>
      <c r="Q53" s="99">
        <v>8454</v>
      </c>
      <c r="R53" s="99">
        <v>3983</v>
      </c>
      <c r="S53" s="99">
        <v>1763</v>
      </c>
      <c r="T53" s="99">
        <v>4250</v>
      </c>
      <c r="U53" s="99">
        <v>5464</v>
      </c>
      <c r="V53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53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634.8292116373475</v>
      </c>
      <c r="X53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585</v>
      </c>
      <c r="Y53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1865</v>
      </c>
      <c r="Z53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3956</v>
      </c>
      <c r="AA53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258</v>
      </c>
      <c r="AB53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-2912</v>
      </c>
      <c r="AC53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987.75</v>
      </c>
      <c r="AD53" s="115" t="str">
        <f>IFERROR(ROUND((tblPiNHistorical[[#This Row],[CCCM - new]] - tblPiNHistorical[[#This Row],[CCCM - old]])/tblPiNHistorical[[#This Row],[CCCM - old]], 1), "")</f>
        <v/>
      </c>
      <c r="AE53" s="104">
        <f>IFERROR(ROUND((tblPiNHistorical[[#This Row],[Education - new]]-tblPiNHistorical[[#This Row],[Education - old]])/tblPiNHistorical[[#This Row],[Education - old]], 1), "")</f>
        <v>0.6</v>
      </c>
      <c r="AF53" s="104">
        <f>IFERROR(ROUND((tblPiNHistorical[[#This Row],[Nutrition - new]]-tblPiNHistorical[[#This Row],[Nutrition - old]])/tblPiNHistorical[[#This Row],[Nutrition - old]], 1), "")</f>
        <v>0.7</v>
      </c>
      <c r="AG53" s="104">
        <f>IFERROR(ROUND((tblPiNHistorical[[#This Row],[Food Security - new]]-tblPiNHistorical[[#This Row],[Food Security - old]])/tblPiNHistorical[[#This Row],[Food Security - old]], 1), "")</f>
        <v>0.3</v>
      </c>
      <c r="AH53" s="104">
        <f>IFERROR(ROUND((tblPiNHistorical[[#This Row],[Health - new]]-tblPiNHistorical[[#This Row],[Health - old]])/tblPiNHistorical[[#This Row],[Health - old]], 1), "")</f>
        <v>146.5</v>
      </c>
      <c r="AI53" s="104">
        <f>IFERROR(ROUND((tblPiNHistorical[[#This Row],[Overarching Protection - new]]-tblPiNHistorical[[#This Row],[Overarching Protection - old]])/tblPiNHistorical[[#This Row],[Overarching Protection - old]], 1), "")</f>
        <v>0.2</v>
      </c>
      <c r="AJ53" s="104">
        <f>IFERROR(ROUND((tblPiNHistorical[[#This Row],[Shelter - new]]-tblPiNHistorical[[#This Row],[Shelter - old]])/tblPiNHistorical[[#This Row],[Shelter - old]], 1), "")</f>
        <v>-0.4</v>
      </c>
      <c r="AK53" s="11">
        <f>IFERROR(ROUND((tblPiNHistorical[[#This Row],[WASH - new]]-tblPiNHistorical[[#This Row],[WASH - old]])/tblPiNHistorical[[#This Row],[WASH - old]], 1), "")</f>
        <v>0.2</v>
      </c>
    </row>
    <row r="54" spans="1:37" ht="17.649999999999999" customHeight="1" x14ac:dyDescent="0.25">
      <c r="A54" s="97" t="s">
        <v>351</v>
      </c>
      <c r="B54" s="65" t="s">
        <v>361</v>
      </c>
      <c r="C54" s="65" t="s">
        <v>299</v>
      </c>
      <c r="D54" s="40" t="s">
        <v>159</v>
      </c>
      <c r="E54" s="37">
        <v>13700</v>
      </c>
      <c r="F54" s="98">
        <v>0</v>
      </c>
      <c r="G54" s="99">
        <v>698.83294346188484</v>
      </c>
      <c r="H54" s="99">
        <v>622</v>
      </c>
      <c r="I54" s="99">
        <v>5201</v>
      </c>
      <c r="J54" s="99">
        <v>123</v>
      </c>
      <c r="K54" s="99">
        <v>928</v>
      </c>
      <c r="L54" s="100">
        <v>6899</v>
      </c>
      <c r="M54" s="113">
        <v>3449.625</v>
      </c>
      <c r="N54" s="101">
        <v>441</v>
      </c>
      <c r="O54" s="101">
        <v>1284</v>
      </c>
      <c r="P54" s="99">
        <v>1095</v>
      </c>
      <c r="Q54" s="99">
        <v>6295</v>
      </c>
      <c r="R54" s="99">
        <v>3749</v>
      </c>
      <c r="S54" s="99">
        <v>1150</v>
      </c>
      <c r="T54" s="99">
        <v>10055</v>
      </c>
      <c r="U54" s="99">
        <v>1829</v>
      </c>
      <c r="V54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54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585.16705653811516</v>
      </c>
      <c r="X54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473</v>
      </c>
      <c r="Y54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1094</v>
      </c>
      <c r="Z54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3626</v>
      </c>
      <c r="AA54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222</v>
      </c>
      <c r="AB54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3156</v>
      </c>
      <c r="AC54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-1620.625</v>
      </c>
      <c r="AD54" s="115" t="str">
        <f>IFERROR(ROUND((tblPiNHistorical[[#This Row],[CCCM - new]] - tblPiNHistorical[[#This Row],[CCCM - old]])/tblPiNHistorical[[#This Row],[CCCM - old]], 1), "")</f>
        <v/>
      </c>
      <c r="AE54" s="104">
        <f>IFERROR(ROUND((tblPiNHistorical[[#This Row],[Education - new]]-tblPiNHistorical[[#This Row],[Education - old]])/tblPiNHistorical[[#This Row],[Education - old]], 1), "")</f>
        <v>0.8</v>
      </c>
      <c r="AF54" s="104">
        <f>IFERROR(ROUND((tblPiNHistorical[[#This Row],[Nutrition - new]]-tblPiNHistorical[[#This Row],[Nutrition - old]])/tblPiNHistorical[[#This Row],[Nutrition - old]], 1), "")</f>
        <v>0.8</v>
      </c>
      <c r="AG54" s="104">
        <f>IFERROR(ROUND((tblPiNHistorical[[#This Row],[Food Security - new]]-tblPiNHistorical[[#This Row],[Food Security - old]])/tblPiNHistorical[[#This Row],[Food Security - old]], 1), "")</f>
        <v>0.2</v>
      </c>
      <c r="AH54" s="104">
        <f>IFERROR(ROUND((tblPiNHistorical[[#This Row],[Health - new]]-tblPiNHistorical[[#This Row],[Health - old]])/tblPiNHistorical[[#This Row],[Health - old]], 1), "")</f>
        <v>29.5</v>
      </c>
      <c r="AI54" s="104">
        <f>IFERROR(ROUND((tblPiNHistorical[[#This Row],[Overarching Protection - new]]-tblPiNHistorical[[#This Row],[Overarching Protection - old]])/tblPiNHistorical[[#This Row],[Overarching Protection - old]], 1), "")</f>
        <v>0.2</v>
      </c>
      <c r="AJ54" s="104">
        <f>IFERROR(ROUND((tblPiNHistorical[[#This Row],[Shelter - new]]-tblPiNHistorical[[#This Row],[Shelter - old]])/tblPiNHistorical[[#This Row],[Shelter - old]], 1), "")</f>
        <v>0.5</v>
      </c>
      <c r="AK54" s="11">
        <f>IFERROR(ROUND((tblPiNHistorical[[#This Row],[WASH - new]]-tblPiNHistorical[[#This Row],[WASH - old]])/tblPiNHistorical[[#This Row],[WASH - old]], 1), "")</f>
        <v>-0.5</v>
      </c>
    </row>
    <row r="55" spans="1:37" ht="17.649999999999999" customHeight="1" x14ac:dyDescent="0.25">
      <c r="A55" s="97" t="s">
        <v>351</v>
      </c>
      <c r="B55" s="65" t="s">
        <v>361</v>
      </c>
      <c r="C55" s="65" t="s">
        <v>297</v>
      </c>
      <c r="D55" s="40" t="s">
        <v>157</v>
      </c>
      <c r="E55" s="37">
        <v>123320</v>
      </c>
      <c r="F55" s="98">
        <v>0</v>
      </c>
      <c r="G55" s="99">
        <v>14009.933010909217</v>
      </c>
      <c r="H55" s="99">
        <v>5709</v>
      </c>
      <c r="I55" s="99">
        <v>47758</v>
      </c>
      <c r="J55" s="99">
        <v>114255</v>
      </c>
      <c r="K55" s="99">
        <v>19622</v>
      </c>
      <c r="L55" s="100">
        <v>74920</v>
      </c>
      <c r="M55" s="113">
        <v>21392.487999999998</v>
      </c>
      <c r="N55" s="101">
        <v>333</v>
      </c>
      <c r="O55" s="101">
        <v>11831</v>
      </c>
      <c r="P55" s="99">
        <v>12903</v>
      </c>
      <c r="Q55" s="99">
        <v>45450</v>
      </c>
      <c r="R55" s="99">
        <v>31212</v>
      </c>
      <c r="S55" s="99">
        <v>22959</v>
      </c>
      <c r="T55" s="99">
        <v>43559</v>
      </c>
      <c r="U55" s="99">
        <v>19835</v>
      </c>
      <c r="V55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55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-2178.933010909217</v>
      </c>
      <c r="X55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7194</v>
      </c>
      <c r="Y55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-2308</v>
      </c>
      <c r="Z55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-83043</v>
      </c>
      <c r="AA55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3337</v>
      </c>
      <c r="AB55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-31361</v>
      </c>
      <c r="AC55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-1557.4879999999976</v>
      </c>
      <c r="AD55" s="115" t="str">
        <f>IFERROR(ROUND((tblPiNHistorical[[#This Row],[CCCM - new]] - tblPiNHistorical[[#This Row],[CCCM - old]])/tblPiNHistorical[[#This Row],[CCCM - old]], 1), "")</f>
        <v/>
      </c>
      <c r="AE55" s="104">
        <f>IFERROR(ROUND((tblPiNHistorical[[#This Row],[Education - new]]-tblPiNHistorical[[#This Row],[Education - old]])/tblPiNHistorical[[#This Row],[Education - old]], 1), "")</f>
        <v>-0.2</v>
      </c>
      <c r="AF55" s="104">
        <f>IFERROR(ROUND((tblPiNHistorical[[#This Row],[Nutrition - new]]-tblPiNHistorical[[#This Row],[Nutrition - old]])/tblPiNHistorical[[#This Row],[Nutrition - old]], 1), "")</f>
        <v>1.3</v>
      </c>
      <c r="AG55" s="104">
        <f>IFERROR(ROUND((tblPiNHistorical[[#This Row],[Food Security - new]]-tblPiNHistorical[[#This Row],[Food Security - old]])/tblPiNHistorical[[#This Row],[Food Security - old]], 1), "")</f>
        <v>0</v>
      </c>
      <c r="AH55" s="104">
        <f>IFERROR(ROUND((tblPiNHistorical[[#This Row],[Health - new]]-tblPiNHistorical[[#This Row],[Health - old]])/tblPiNHistorical[[#This Row],[Health - old]], 1), "")</f>
        <v>-0.7</v>
      </c>
      <c r="AI55" s="104">
        <f>IFERROR(ROUND((tblPiNHistorical[[#This Row],[Overarching Protection - new]]-tblPiNHistorical[[#This Row],[Overarching Protection - old]])/tblPiNHistorical[[#This Row],[Overarching Protection - old]], 1), "")</f>
        <v>0.2</v>
      </c>
      <c r="AJ55" s="104">
        <f>IFERROR(ROUND((tblPiNHistorical[[#This Row],[Shelter - new]]-tblPiNHistorical[[#This Row],[Shelter - old]])/tblPiNHistorical[[#This Row],[Shelter - old]], 1), "")</f>
        <v>-0.4</v>
      </c>
      <c r="AK55" s="11">
        <f>IFERROR(ROUND((tblPiNHistorical[[#This Row],[WASH - new]]-tblPiNHistorical[[#This Row],[WASH - old]])/tblPiNHistorical[[#This Row],[WASH - old]], 1), "")</f>
        <v>-0.1</v>
      </c>
    </row>
    <row r="56" spans="1:37" ht="17.649999999999999" customHeight="1" x14ac:dyDescent="0.25">
      <c r="A56" s="97" t="s">
        <v>351</v>
      </c>
      <c r="B56" s="65" t="s">
        <v>361</v>
      </c>
      <c r="C56" s="65" t="s">
        <v>230</v>
      </c>
      <c r="D56" s="40" t="s">
        <v>90</v>
      </c>
      <c r="E56" s="37">
        <v>22559</v>
      </c>
      <c r="F56" s="98">
        <v>0</v>
      </c>
      <c r="G56" s="99">
        <v>1969.0239223381448</v>
      </c>
      <c r="H56" s="99">
        <v>1043</v>
      </c>
      <c r="I56" s="99">
        <v>8722</v>
      </c>
      <c r="J56" s="99">
        <v>5031</v>
      </c>
      <c r="K56" s="99">
        <v>3249</v>
      </c>
      <c r="L56" s="100">
        <v>6480</v>
      </c>
      <c r="M56" s="113">
        <v>16199.375</v>
      </c>
      <c r="N56" s="101">
        <v>119</v>
      </c>
      <c r="O56" s="101">
        <v>2123</v>
      </c>
      <c r="P56" s="99">
        <v>1952</v>
      </c>
      <c r="Q56" s="99">
        <v>10980</v>
      </c>
      <c r="R56" s="99">
        <v>5519</v>
      </c>
      <c r="S56" s="99">
        <v>3758</v>
      </c>
      <c r="T56" s="99">
        <v>0</v>
      </c>
      <c r="U56" s="99">
        <v>2554</v>
      </c>
      <c r="V56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56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153.97607766185524</v>
      </c>
      <c r="X56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909</v>
      </c>
      <c r="Y56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2258</v>
      </c>
      <c r="Z56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488</v>
      </c>
      <c r="AA56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509</v>
      </c>
      <c r="AB56" s="103" t="str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/>
      </c>
      <c r="AC56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-13645.375</v>
      </c>
      <c r="AD56" s="115" t="str">
        <f>IFERROR(ROUND((tblPiNHistorical[[#This Row],[CCCM - new]] - tblPiNHistorical[[#This Row],[CCCM - old]])/tblPiNHistorical[[#This Row],[CCCM - old]], 1), "")</f>
        <v/>
      </c>
      <c r="AE56" s="104">
        <f>IFERROR(ROUND((tblPiNHistorical[[#This Row],[Education - new]]-tblPiNHistorical[[#This Row],[Education - old]])/tblPiNHistorical[[#This Row],[Education - old]], 1), "")</f>
        <v>0.1</v>
      </c>
      <c r="AF56" s="104">
        <f>IFERROR(ROUND((tblPiNHistorical[[#This Row],[Nutrition - new]]-tblPiNHistorical[[#This Row],[Nutrition - old]])/tblPiNHistorical[[#This Row],[Nutrition - old]], 1), "")</f>
        <v>0.9</v>
      </c>
      <c r="AG56" s="104">
        <f>IFERROR(ROUND((tblPiNHistorical[[#This Row],[Food Security - new]]-tblPiNHistorical[[#This Row],[Food Security - old]])/tblPiNHistorical[[#This Row],[Food Security - old]], 1), "")</f>
        <v>0.3</v>
      </c>
      <c r="AH56" s="104">
        <f>IFERROR(ROUND((tblPiNHistorical[[#This Row],[Health - new]]-tblPiNHistorical[[#This Row],[Health - old]])/tblPiNHistorical[[#This Row],[Health - old]], 1), "")</f>
        <v>0.1</v>
      </c>
      <c r="AI56" s="104">
        <f>IFERROR(ROUND((tblPiNHistorical[[#This Row],[Overarching Protection - new]]-tblPiNHistorical[[#This Row],[Overarching Protection - old]])/tblPiNHistorical[[#This Row],[Overarching Protection - old]], 1), "")</f>
        <v>0.2</v>
      </c>
      <c r="AJ56" s="104">
        <f>IFERROR(ROUND((tblPiNHistorical[[#This Row],[Shelter - new]]-tblPiNHistorical[[#This Row],[Shelter - old]])/tblPiNHistorical[[#This Row],[Shelter - old]], 1), "")</f>
        <v>-1</v>
      </c>
      <c r="AK56" s="11">
        <f>IFERROR(ROUND((tblPiNHistorical[[#This Row],[WASH - new]]-tblPiNHistorical[[#This Row],[WASH - old]])/tblPiNHistorical[[#This Row],[WASH - old]], 1), "")</f>
        <v>-0.8</v>
      </c>
    </row>
    <row r="57" spans="1:37" ht="17.649999999999999" customHeight="1" x14ac:dyDescent="0.25">
      <c r="A57" s="97" t="s">
        <v>351</v>
      </c>
      <c r="B57" s="65" t="s">
        <v>361</v>
      </c>
      <c r="C57" s="65" t="s">
        <v>295</v>
      </c>
      <c r="D57" s="40" t="s">
        <v>155</v>
      </c>
      <c r="E57" s="37">
        <v>24682</v>
      </c>
      <c r="F57" s="98">
        <v>0</v>
      </c>
      <c r="G57" s="99">
        <v>1594.9557177934857</v>
      </c>
      <c r="H57" s="99">
        <v>1128</v>
      </c>
      <c r="I57" s="99">
        <v>9438</v>
      </c>
      <c r="J57" s="99">
        <v>9346</v>
      </c>
      <c r="K57" s="99">
        <v>2260</v>
      </c>
      <c r="L57" s="100">
        <v>15746</v>
      </c>
      <c r="M57" s="113">
        <v>9185.3125</v>
      </c>
      <c r="N57" s="101">
        <v>527</v>
      </c>
      <c r="O57" s="101">
        <v>2591</v>
      </c>
      <c r="P57" s="99">
        <v>2127</v>
      </c>
      <c r="Q57" s="99">
        <v>11424</v>
      </c>
      <c r="R57" s="99">
        <v>6669</v>
      </c>
      <c r="S57" s="99">
        <v>2702</v>
      </c>
      <c r="T57" s="99">
        <v>6710</v>
      </c>
      <c r="U57" s="99">
        <v>3659</v>
      </c>
      <c r="V57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57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996.04428220651425</v>
      </c>
      <c r="X57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999</v>
      </c>
      <c r="Y57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1986</v>
      </c>
      <c r="Z57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-2677</v>
      </c>
      <c r="AA57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442</v>
      </c>
      <c r="AB57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-9036</v>
      </c>
      <c r="AC57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-5526.3125</v>
      </c>
      <c r="AD57" s="115" t="str">
        <f>IFERROR(ROUND((tblPiNHistorical[[#This Row],[CCCM - new]] - tblPiNHistorical[[#This Row],[CCCM - old]])/tblPiNHistorical[[#This Row],[CCCM - old]], 1), "")</f>
        <v/>
      </c>
      <c r="AE57" s="104">
        <f>IFERROR(ROUND((tblPiNHistorical[[#This Row],[Education - new]]-tblPiNHistorical[[#This Row],[Education - old]])/tblPiNHistorical[[#This Row],[Education - old]], 1), "")</f>
        <v>0.6</v>
      </c>
      <c r="AF57" s="104">
        <f>IFERROR(ROUND((tblPiNHistorical[[#This Row],[Nutrition - new]]-tblPiNHistorical[[#This Row],[Nutrition - old]])/tblPiNHistorical[[#This Row],[Nutrition - old]], 1), "")</f>
        <v>0.9</v>
      </c>
      <c r="AG57" s="104">
        <f>IFERROR(ROUND((tblPiNHistorical[[#This Row],[Food Security - new]]-tblPiNHistorical[[#This Row],[Food Security - old]])/tblPiNHistorical[[#This Row],[Food Security - old]], 1), "")</f>
        <v>0.2</v>
      </c>
      <c r="AH57" s="104">
        <f>IFERROR(ROUND((tblPiNHistorical[[#This Row],[Health - new]]-tblPiNHistorical[[#This Row],[Health - old]])/tblPiNHistorical[[#This Row],[Health - old]], 1), "")</f>
        <v>-0.3</v>
      </c>
      <c r="AI57" s="104">
        <f>IFERROR(ROUND((tblPiNHistorical[[#This Row],[Overarching Protection - new]]-tblPiNHistorical[[#This Row],[Overarching Protection - old]])/tblPiNHistorical[[#This Row],[Overarching Protection - old]], 1), "")</f>
        <v>0.2</v>
      </c>
      <c r="AJ57" s="104">
        <f>IFERROR(ROUND((tblPiNHistorical[[#This Row],[Shelter - new]]-tblPiNHistorical[[#This Row],[Shelter - old]])/tblPiNHistorical[[#This Row],[Shelter - old]], 1), "")</f>
        <v>-0.6</v>
      </c>
      <c r="AK57" s="11">
        <f>IFERROR(ROUND((tblPiNHistorical[[#This Row],[WASH - new]]-tblPiNHistorical[[#This Row],[WASH - old]])/tblPiNHistorical[[#This Row],[WASH - old]], 1), "")</f>
        <v>-0.6</v>
      </c>
    </row>
    <row r="58" spans="1:37" ht="17.649999999999999" customHeight="1" x14ac:dyDescent="0.25">
      <c r="A58" s="97" t="s">
        <v>351</v>
      </c>
      <c r="B58" s="65" t="s">
        <v>361</v>
      </c>
      <c r="C58" s="65" t="s">
        <v>339</v>
      </c>
      <c r="D58" s="40" t="s">
        <v>199</v>
      </c>
      <c r="E58" s="37">
        <v>57212</v>
      </c>
      <c r="F58" s="98">
        <v>0</v>
      </c>
      <c r="G58" s="99">
        <v>4287.5782689472026</v>
      </c>
      <c r="H58" s="99">
        <v>2632</v>
      </c>
      <c r="I58" s="99">
        <v>22019</v>
      </c>
      <c r="J58" s="99">
        <v>13973</v>
      </c>
      <c r="K58" s="99">
        <v>5836</v>
      </c>
      <c r="L58" s="100">
        <v>17469</v>
      </c>
      <c r="M58" s="113">
        <v>10300.1175</v>
      </c>
      <c r="N58" s="101">
        <v>680</v>
      </c>
      <c r="O58" s="101">
        <v>5481</v>
      </c>
      <c r="P58" s="99">
        <v>4889</v>
      </c>
      <c r="Q58" s="99">
        <v>26653</v>
      </c>
      <c r="R58" s="99">
        <v>14929</v>
      </c>
      <c r="S58" s="99">
        <v>6841</v>
      </c>
      <c r="T58" s="99">
        <v>21622</v>
      </c>
      <c r="U58" s="99">
        <v>29130</v>
      </c>
      <c r="V58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58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1193.4217310527974</v>
      </c>
      <c r="X58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2257</v>
      </c>
      <c r="Y58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4634</v>
      </c>
      <c r="Z58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956</v>
      </c>
      <c r="AA58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1005</v>
      </c>
      <c r="AB58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4153</v>
      </c>
      <c r="AC58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18829.8825</v>
      </c>
      <c r="AD58" s="115" t="str">
        <f>IFERROR(ROUND((tblPiNHistorical[[#This Row],[CCCM - new]] - tblPiNHistorical[[#This Row],[CCCM - old]])/tblPiNHistorical[[#This Row],[CCCM - old]], 1), "")</f>
        <v/>
      </c>
      <c r="AE58" s="104">
        <f>IFERROR(ROUND((tblPiNHistorical[[#This Row],[Education - new]]-tblPiNHistorical[[#This Row],[Education - old]])/tblPiNHistorical[[#This Row],[Education - old]], 1), "")</f>
        <v>0.3</v>
      </c>
      <c r="AF58" s="104">
        <f>IFERROR(ROUND((tblPiNHistorical[[#This Row],[Nutrition - new]]-tblPiNHistorical[[#This Row],[Nutrition - old]])/tblPiNHistorical[[#This Row],[Nutrition - old]], 1), "")</f>
        <v>0.9</v>
      </c>
      <c r="AG58" s="104">
        <f>IFERROR(ROUND((tblPiNHistorical[[#This Row],[Food Security - new]]-tblPiNHistorical[[#This Row],[Food Security - old]])/tblPiNHistorical[[#This Row],[Food Security - old]], 1), "")</f>
        <v>0.2</v>
      </c>
      <c r="AH58" s="104">
        <f>IFERROR(ROUND((tblPiNHistorical[[#This Row],[Health - new]]-tblPiNHistorical[[#This Row],[Health - old]])/tblPiNHistorical[[#This Row],[Health - old]], 1), "")</f>
        <v>0.1</v>
      </c>
      <c r="AI58" s="104">
        <f>IFERROR(ROUND((tblPiNHistorical[[#This Row],[Overarching Protection - new]]-tblPiNHistorical[[#This Row],[Overarching Protection - old]])/tblPiNHistorical[[#This Row],[Overarching Protection - old]], 1), "")</f>
        <v>0.2</v>
      </c>
      <c r="AJ58" s="104">
        <f>IFERROR(ROUND((tblPiNHistorical[[#This Row],[Shelter - new]]-tblPiNHistorical[[#This Row],[Shelter - old]])/tblPiNHistorical[[#This Row],[Shelter - old]], 1), "")</f>
        <v>0.2</v>
      </c>
      <c r="AK58" s="11">
        <f>IFERROR(ROUND((tblPiNHistorical[[#This Row],[WASH - new]]-tblPiNHistorical[[#This Row],[WASH - old]])/tblPiNHistorical[[#This Row],[WASH - old]], 1), "")</f>
        <v>1.8</v>
      </c>
    </row>
    <row r="59" spans="1:37" ht="17.649999999999999" customHeight="1" x14ac:dyDescent="0.25">
      <c r="A59" s="97" t="s">
        <v>351</v>
      </c>
      <c r="B59" s="65" t="s">
        <v>361</v>
      </c>
      <c r="C59" s="65" t="s">
        <v>327</v>
      </c>
      <c r="D59" s="40" t="s">
        <v>187</v>
      </c>
      <c r="E59" s="37">
        <v>32812</v>
      </c>
      <c r="F59" s="98">
        <v>0</v>
      </c>
      <c r="G59" s="99">
        <v>1306.7317600269466</v>
      </c>
      <c r="H59" s="99">
        <v>1508</v>
      </c>
      <c r="I59" s="99">
        <v>12614</v>
      </c>
      <c r="J59" s="99">
        <v>55</v>
      </c>
      <c r="K59" s="99">
        <v>1907</v>
      </c>
      <c r="L59" s="100">
        <v>9958</v>
      </c>
      <c r="M59" s="113">
        <v>9881.9745000000003</v>
      </c>
      <c r="N59" s="101">
        <v>447</v>
      </c>
      <c r="O59" s="101">
        <v>3181</v>
      </c>
      <c r="P59" s="99">
        <v>2645</v>
      </c>
      <c r="Q59" s="99">
        <v>15269</v>
      </c>
      <c r="R59" s="99">
        <v>8361</v>
      </c>
      <c r="S59" s="99">
        <v>2570</v>
      </c>
      <c r="T59" s="99">
        <v>10210</v>
      </c>
      <c r="U59" s="99">
        <v>6630</v>
      </c>
      <c r="V59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59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1874.2682399730534</v>
      </c>
      <c r="X59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1137</v>
      </c>
      <c r="Y59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2655</v>
      </c>
      <c r="Z59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8306</v>
      </c>
      <c r="AA59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663</v>
      </c>
      <c r="AB59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252</v>
      </c>
      <c r="AC59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-3251.9745000000003</v>
      </c>
      <c r="AD59" s="115" t="str">
        <f>IFERROR(ROUND((tblPiNHistorical[[#This Row],[CCCM - new]] - tblPiNHistorical[[#This Row],[CCCM - old]])/tblPiNHistorical[[#This Row],[CCCM - old]], 1), "")</f>
        <v/>
      </c>
      <c r="AE59" s="104">
        <f>IFERROR(ROUND((tblPiNHistorical[[#This Row],[Education - new]]-tblPiNHistorical[[#This Row],[Education - old]])/tblPiNHistorical[[#This Row],[Education - old]], 1), "")</f>
        <v>1.4</v>
      </c>
      <c r="AF59" s="104">
        <f>IFERROR(ROUND((tblPiNHistorical[[#This Row],[Nutrition - new]]-tblPiNHistorical[[#This Row],[Nutrition - old]])/tblPiNHistorical[[#This Row],[Nutrition - old]], 1), "")</f>
        <v>0.8</v>
      </c>
      <c r="AG59" s="104">
        <f>IFERROR(ROUND((tblPiNHistorical[[#This Row],[Food Security - new]]-tblPiNHistorical[[#This Row],[Food Security - old]])/tblPiNHistorical[[#This Row],[Food Security - old]], 1), "")</f>
        <v>0.2</v>
      </c>
      <c r="AH59" s="104">
        <f>IFERROR(ROUND((tblPiNHistorical[[#This Row],[Health - new]]-tblPiNHistorical[[#This Row],[Health - old]])/tblPiNHistorical[[#This Row],[Health - old]], 1), "")</f>
        <v>151</v>
      </c>
      <c r="AI59" s="104">
        <f>IFERROR(ROUND((tblPiNHistorical[[#This Row],[Overarching Protection - new]]-tblPiNHistorical[[#This Row],[Overarching Protection - old]])/tblPiNHistorical[[#This Row],[Overarching Protection - old]], 1), "")</f>
        <v>0.3</v>
      </c>
      <c r="AJ59" s="104">
        <f>IFERROR(ROUND((tblPiNHistorical[[#This Row],[Shelter - new]]-tblPiNHistorical[[#This Row],[Shelter - old]])/tblPiNHistorical[[#This Row],[Shelter - old]], 1), "")</f>
        <v>0</v>
      </c>
      <c r="AK59" s="11">
        <f>IFERROR(ROUND((tblPiNHistorical[[#This Row],[WASH - new]]-tblPiNHistorical[[#This Row],[WASH - old]])/tblPiNHistorical[[#This Row],[WASH - old]], 1), "")</f>
        <v>-0.3</v>
      </c>
    </row>
    <row r="60" spans="1:37" ht="17.649999999999999" customHeight="1" x14ac:dyDescent="0.25">
      <c r="A60" s="97" t="s">
        <v>351</v>
      </c>
      <c r="B60" s="65" t="s">
        <v>361</v>
      </c>
      <c r="C60" s="65" t="s">
        <v>332</v>
      </c>
      <c r="D60" s="40" t="s">
        <v>192</v>
      </c>
      <c r="E60" s="37">
        <v>35373</v>
      </c>
      <c r="F60" s="98">
        <v>0</v>
      </c>
      <c r="G60" s="99">
        <v>2364.7431094772865</v>
      </c>
      <c r="H60" s="99">
        <v>1631</v>
      </c>
      <c r="I60" s="99">
        <v>13645</v>
      </c>
      <c r="J60" s="99">
        <v>1460</v>
      </c>
      <c r="K60" s="99">
        <v>3112</v>
      </c>
      <c r="L60" s="100">
        <v>19455</v>
      </c>
      <c r="M60" s="113">
        <v>6676.956000000001</v>
      </c>
      <c r="N60" s="101">
        <v>300</v>
      </c>
      <c r="O60" s="101">
        <v>3374</v>
      </c>
      <c r="P60" s="99">
        <v>3013</v>
      </c>
      <c r="Q60" s="99">
        <v>16518</v>
      </c>
      <c r="R60" s="99">
        <v>8564</v>
      </c>
      <c r="S60" s="99">
        <v>3616</v>
      </c>
      <c r="T60" s="99">
        <v>12540</v>
      </c>
      <c r="U60" s="99">
        <v>3476</v>
      </c>
      <c r="V60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60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1009.2568905227135</v>
      </c>
      <c r="X60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1382</v>
      </c>
      <c r="Y60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2873</v>
      </c>
      <c r="Z60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7104</v>
      </c>
      <c r="AA60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504</v>
      </c>
      <c r="AB60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-6915</v>
      </c>
      <c r="AC60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-3200.956000000001</v>
      </c>
      <c r="AD60" s="115" t="str">
        <f>IFERROR(ROUND((tblPiNHistorical[[#This Row],[CCCM - new]] - tblPiNHistorical[[#This Row],[CCCM - old]])/tblPiNHistorical[[#This Row],[CCCM - old]], 1), "")</f>
        <v/>
      </c>
      <c r="AE60" s="104">
        <f>IFERROR(ROUND((tblPiNHistorical[[#This Row],[Education - new]]-tblPiNHistorical[[#This Row],[Education - old]])/tblPiNHistorical[[#This Row],[Education - old]], 1), "")</f>
        <v>0.4</v>
      </c>
      <c r="AF60" s="104">
        <f>IFERROR(ROUND((tblPiNHistorical[[#This Row],[Nutrition - new]]-tblPiNHistorical[[#This Row],[Nutrition - old]])/tblPiNHistorical[[#This Row],[Nutrition - old]], 1), "")</f>
        <v>0.8</v>
      </c>
      <c r="AG60" s="104">
        <f>IFERROR(ROUND((tblPiNHistorical[[#This Row],[Food Security - new]]-tblPiNHistorical[[#This Row],[Food Security - old]])/tblPiNHistorical[[#This Row],[Food Security - old]], 1), "")</f>
        <v>0.2</v>
      </c>
      <c r="AH60" s="104">
        <f>IFERROR(ROUND((tblPiNHistorical[[#This Row],[Health - new]]-tblPiNHistorical[[#This Row],[Health - old]])/tblPiNHistorical[[#This Row],[Health - old]], 1), "")</f>
        <v>4.9000000000000004</v>
      </c>
      <c r="AI60" s="104">
        <f>IFERROR(ROUND((tblPiNHistorical[[#This Row],[Overarching Protection - new]]-tblPiNHistorical[[#This Row],[Overarching Protection - old]])/tblPiNHistorical[[#This Row],[Overarching Protection - old]], 1), "")</f>
        <v>0.2</v>
      </c>
      <c r="AJ60" s="104">
        <f>IFERROR(ROUND((tblPiNHistorical[[#This Row],[Shelter - new]]-tblPiNHistorical[[#This Row],[Shelter - old]])/tblPiNHistorical[[#This Row],[Shelter - old]], 1), "")</f>
        <v>-0.4</v>
      </c>
      <c r="AK60" s="11">
        <f>IFERROR(ROUND((tblPiNHistorical[[#This Row],[WASH - new]]-tblPiNHistorical[[#This Row],[WASH - old]])/tblPiNHistorical[[#This Row],[WASH - old]], 1), "")</f>
        <v>-0.5</v>
      </c>
    </row>
    <row r="61" spans="1:37" ht="17.649999999999999" customHeight="1" x14ac:dyDescent="0.25">
      <c r="A61" s="97" t="s">
        <v>351</v>
      </c>
      <c r="B61" s="65" t="s">
        <v>361</v>
      </c>
      <c r="C61" s="65" t="s">
        <v>231</v>
      </c>
      <c r="D61" s="40" t="s">
        <v>91</v>
      </c>
      <c r="E61" s="37">
        <v>9005</v>
      </c>
      <c r="F61" s="98">
        <v>0</v>
      </c>
      <c r="G61" s="99">
        <v>1684.5224142106574</v>
      </c>
      <c r="H61" s="99">
        <v>414</v>
      </c>
      <c r="I61" s="99">
        <v>3471</v>
      </c>
      <c r="J61" s="99">
        <v>1848</v>
      </c>
      <c r="K61" s="99">
        <v>2244</v>
      </c>
      <c r="L61" s="100">
        <v>0</v>
      </c>
      <c r="M61" s="113">
        <v>2882.62</v>
      </c>
      <c r="N61" s="101">
        <v>83</v>
      </c>
      <c r="O61" s="101">
        <v>833</v>
      </c>
      <c r="P61" s="99">
        <v>1027</v>
      </c>
      <c r="Q61" s="99">
        <v>4454</v>
      </c>
      <c r="R61" s="99">
        <v>2193</v>
      </c>
      <c r="S61" s="99">
        <v>2869</v>
      </c>
      <c r="T61" s="99">
        <v>3402</v>
      </c>
      <c r="U61" s="99">
        <v>1396</v>
      </c>
      <c r="V61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61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-851.52241421065742</v>
      </c>
      <c r="X61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613</v>
      </c>
      <c r="Y61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983</v>
      </c>
      <c r="Z61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345</v>
      </c>
      <c r="AA61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625</v>
      </c>
      <c r="AB61" s="103" t="str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/>
      </c>
      <c r="AC61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-1486.62</v>
      </c>
      <c r="AD61" s="115" t="str">
        <f>IFERROR(ROUND((tblPiNHistorical[[#This Row],[CCCM - new]] - tblPiNHistorical[[#This Row],[CCCM - old]])/tblPiNHistorical[[#This Row],[CCCM - old]], 1), "")</f>
        <v/>
      </c>
      <c r="AE61" s="104">
        <f>IFERROR(ROUND((tblPiNHistorical[[#This Row],[Education - new]]-tblPiNHistorical[[#This Row],[Education - old]])/tblPiNHistorical[[#This Row],[Education - old]], 1), "")</f>
        <v>-0.5</v>
      </c>
      <c r="AF61" s="104">
        <f>IFERROR(ROUND((tblPiNHistorical[[#This Row],[Nutrition - new]]-tblPiNHistorical[[#This Row],[Nutrition - old]])/tblPiNHistorical[[#This Row],[Nutrition - old]], 1), "")</f>
        <v>1.5</v>
      </c>
      <c r="AG61" s="104">
        <f>IFERROR(ROUND((tblPiNHistorical[[#This Row],[Food Security - new]]-tblPiNHistorical[[#This Row],[Food Security - old]])/tblPiNHistorical[[#This Row],[Food Security - old]], 1), "")</f>
        <v>0.3</v>
      </c>
      <c r="AH61" s="104">
        <f>IFERROR(ROUND((tblPiNHistorical[[#This Row],[Health - new]]-tblPiNHistorical[[#This Row],[Health - old]])/tblPiNHistorical[[#This Row],[Health - old]], 1), "")</f>
        <v>0.2</v>
      </c>
      <c r="AI61" s="104">
        <f>IFERROR(ROUND((tblPiNHistorical[[#This Row],[Overarching Protection - new]]-tblPiNHistorical[[#This Row],[Overarching Protection - old]])/tblPiNHistorical[[#This Row],[Overarching Protection - old]], 1), "")</f>
        <v>0.3</v>
      </c>
      <c r="AJ61" s="104" t="str">
        <f>IFERROR(ROUND((tblPiNHistorical[[#This Row],[Shelter - new]]-tblPiNHistorical[[#This Row],[Shelter - old]])/tblPiNHistorical[[#This Row],[Shelter - old]], 1), "")</f>
        <v/>
      </c>
      <c r="AK61" s="11">
        <f>IFERROR(ROUND((tblPiNHistorical[[#This Row],[WASH - new]]-tblPiNHistorical[[#This Row],[WASH - old]])/tblPiNHistorical[[#This Row],[WASH - old]], 1), "")</f>
        <v>-0.5</v>
      </c>
    </row>
    <row r="62" spans="1:37" ht="17.649999999999999" customHeight="1" x14ac:dyDescent="0.25">
      <c r="A62" s="97" t="s">
        <v>351</v>
      </c>
      <c r="B62" s="65" t="s">
        <v>361</v>
      </c>
      <c r="C62" s="65" t="s">
        <v>340</v>
      </c>
      <c r="D62" s="40" t="s">
        <v>200</v>
      </c>
      <c r="E62" s="37">
        <v>27514</v>
      </c>
      <c r="F62" s="98">
        <v>0</v>
      </c>
      <c r="G62" s="99">
        <v>950.66805679769834</v>
      </c>
      <c r="H62" s="99">
        <v>1266</v>
      </c>
      <c r="I62" s="99">
        <v>10592</v>
      </c>
      <c r="J62" s="99">
        <v>77</v>
      </c>
      <c r="K62" s="99">
        <v>1281</v>
      </c>
      <c r="L62" s="100">
        <v>10950</v>
      </c>
      <c r="M62" s="113">
        <v>9429.2990000000009</v>
      </c>
      <c r="N62" s="101">
        <v>318</v>
      </c>
      <c r="O62" s="101">
        <v>2558</v>
      </c>
      <c r="P62" s="99">
        <v>2076</v>
      </c>
      <c r="Q62" s="99">
        <v>45468</v>
      </c>
      <c r="R62" s="99">
        <v>6840</v>
      </c>
      <c r="S62" s="99">
        <v>2133</v>
      </c>
      <c r="T62" s="99">
        <v>12500</v>
      </c>
      <c r="U62" s="99">
        <v>5311</v>
      </c>
      <c r="V62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62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1607.3319432023018</v>
      </c>
      <c r="X62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810</v>
      </c>
      <c r="Y62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34876</v>
      </c>
      <c r="Z62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6763</v>
      </c>
      <c r="AA62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852</v>
      </c>
      <c r="AB62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1550</v>
      </c>
      <c r="AC62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-4118.2990000000009</v>
      </c>
      <c r="AD62" s="115" t="str">
        <f>IFERROR(ROUND((tblPiNHistorical[[#This Row],[CCCM - new]] - tblPiNHistorical[[#This Row],[CCCM - old]])/tblPiNHistorical[[#This Row],[CCCM - old]], 1), "")</f>
        <v/>
      </c>
      <c r="AE62" s="104">
        <f>IFERROR(ROUND((tblPiNHistorical[[#This Row],[Education - new]]-tblPiNHistorical[[#This Row],[Education - old]])/tblPiNHistorical[[#This Row],[Education - old]], 1), "")</f>
        <v>1.7</v>
      </c>
      <c r="AF62" s="104">
        <f>IFERROR(ROUND((tblPiNHistorical[[#This Row],[Nutrition - new]]-tblPiNHistorical[[#This Row],[Nutrition - old]])/tblPiNHistorical[[#This Row],[Nutrition - old]], 1), "")</f>
        <v>0.6</v>
      </c>
      <c r="AG62" s="104">
        <f>IFERROR(ROUND((tblPiNHistorical[[#This Row],[Food Security - new]]-tblPiNHistorical[[#This Row],[Food Security - old]])/tblPiNHistorical[[#This Row],[Food Security - old]], 1), "")</f>
        <v>3.3</v>
      </c>
      <c r="AH62" s="104">
        <f>IFERROR(ROUND((tblPiNHistorical[[#This Row],[Health - new]]-tblPiNHistorical[[#This Row],[Health - old]])/tblPiNHistorical[[#This Row],[Health - old]], 1), "")</f>
        <v>87.8</v>
      </c>
      <c r="AI62" s="104">
        <f>IFERROR(ROUND((tblPiNHistorical[[#This Row],[Overarching Protection - new]]-tblPiNHistorical[[#This Row],[Overarching Protection - old]])/tblPiNHistorical[[#This Row],[Overarching Protection - old]], 1), "")</f>
        <v>0.7</v>
      </c>
      <c r="AJ62" s="104">
        <f>IFERROR(ROUND((tblPiNHistorical[[#This Row],[Shelter - new]]-tblPiNHistorical[[#This Row],[Shelter - old]])/tblPiNHistorical[[#This Row],[Shelter - old]], 1), "")</f>
        <v>0.1</v>
      </c>
      <c r="AK62" s="11">
        <f>IFERROR(ROUND((tblPiNHistorical[[#This Row],[WASH - new]]-tblPiNHistorical[[#This Row],[WASH - old]])/tblPiNHistorical[[#This Row],[WASH - old]], 1), "")</f>
        <v>-0.4</v>
      </c>
    </row>
    <row r="63" spans="1:37" ht="17.649999999999999" customHeight="1" x14ac:dyDescent="0.25">
      <c r="A63" s="97" t="s">
        <v>351</v>
      </c>
      <c r="B63" s="65" t="s">
        <v>361</v>
      </c>
      <c r="C63" s="65" t="s">
        <v>232</v>
      </c>
      <c r="D63" s="40" t="s">
        <v>92</v>
      </c>
      <c r="E63" s="37">
        <v>15825</v>
      </c>
      <c r="F63" s="98">
        <v>0</v>
      </c>
      <c r="G63" s="99">
        <v>1257.4282943995131</v>
      </c>
      <c r="H63" s="99">
        <v>732</v>
      </c>
      <c r="I63" s="99">
        <v>6127</v>
      </c>
      <c r="J63" s="99">
        <v>144</v>
      </c>
      <c r="K63" s="99">
        <v>2111</v>
      </c>
      <c r="L63" s="100">
        <v>4138</v>
      </c>
      <c r="M63" s="113">
        <v>4138</v>
      </c>
      <c r="N63" s="101">
        <v>50</v>
      </c>
      <c r="O63" s="101">
        <v>1755</v>
      </c>
      <c r="P63" s="99">
        <v>1577</v>
      </c>
      <c r="Q63" s="99">
        <v>7861</v>
      </c>
      <c r="R63" s="99">
        <v>4097</v>
      </c>
      <c r="S63" s="99">
        <v>2439</v>
      </c>
      <c r="T63" s="99">
        <v>6000</v>
      </c>
      <c r="U63" s="99">
        <v>1102</v>
      </c>
      <c r="V63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63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497.57170560048689</v>
      </c>
      <c r="X63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845</v>
      </c>
      <c r="Y63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1734</v>
      </c>
      <c r="Z63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3953</v>
      </c>
      <c r="AA63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328</v>
      </c>
      <c r="AB63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1862</v>
      </c>
      <c r="AC63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-3036</v>
      </c>
      <c r="AD63" s="115" t="str">
        <f>IFERROR(ROUND((tblPiNHistorical[[#This Row],[CCCM - new]] - tblPiNHistorical[[#This Row],[CCCM - old]])/tblPiNHistorical[[#This Row],[CCCM - old]], 1), "")</f>
        <v/>
      </c>
      <c r="AE63" s="104">
        <f>IFERROR(ROUND((tblPiNHistorical[[#This Row],[Education - new]]-tblPiNHistorical[[#This Row],[Education - old]])/tblPiNHistorical[[#This Row],[Education - old]], 1), "")</f>
        <v>0.4</v>
      </c>
      <c r="AF63" s="104">
        <f>IFERROR(ROUND((tblPiNHistorical[[#This Row],[Nutrition - new]]-tblPiNHistorical[[#This Row],[Nutrition - old]])/tblPiNHistorical[[#This Row],[Nutrition - old]], 1), "")</f>
        <v>1.2</v>
      </c>
      <c r="AG63" s="104">
        <f>IFERROR(ROUND((tblPiNHistorical[[#This Row],[Food Security - new]]-tblPiNHistorical[[#This Row],[Food Security - old]])/tblPiNHistorical[[#This Row],[Food Security - old]], 1), "")</f>
        <v>0.3</v>
      </c>
      <c r="AH63" s="104">
        <f>IFERROR(ROUND((tblPiNHistorical[[#This Row],[Health - new]]-tblPiNHistorical[[#This Row],[Health - old]])/tblPiNHistorical[[#This Row],[Health - old]], 1), "")</f>
        <v>27.5</v>
      </c>
      <c r="AI63" s="104">
        <f>IFERROR(ROUND((tblPiNHistorical[[#This Row],[Overarching Protection - new]]-tblPiNHistorical[[#This Row],[Overarching Protection - old]])/tblPiNHistorical[[#This Row],[Overarching Protection - old]], 1), "")</f>
        <v>0.2</v>
      </c>
      <c r="AJ63" s="104">
        <f>IFERROR(ROUND((tblPiNHistorical[[#This Row],[Shelter - new]]-tblPiNHistorical[[#This Row],[Shelter - old]])/tblPiNHistorical[[#This Row],[Shelter - old]], 1), "")</f>
        <v>0.4</v>
      </c>
      <c r="AK63" s="11">
        <f>IFERROR(ROUND((tblPiNHistorical[[#This Row],[WASH - new]]-tblPiNHistorical[[#This Row],[WASH - old]])/tblPiNHistorical[[#This Row],[WASH - old]], 1), "")</f>
        <v>-0.7</v>
      </c>
    </row>
    <row r="64" spans="1:37" ht="17.649999999999999" customHeight="1" x14ac:dyDescent="0.25">
      <c r="A64" s="97" t="s">
        <v>351</v>
      </c>
      <c r="B64" s="65" t="s">
        <v>361</v>
      </c>
      <c r="C64" s="65" t="s">
        <v>294</v>
      </c>
      <c r="D64" s="40" t="s">
        <v>154</v>
      </c>
      <c r="E64" s="37">
        <v>40343</v>
      </c>
      <c r="F64" s="98">
        <v>0</v>
      </c>
      <c r="G64" s="99">
        <v>1962.4906433798101</v>
      </c>
      <c r="H64" s="99">
        <v>1867</v>
      </c>
      <c r="I64" s="99">
        <v>15615</v>
      </c>
      <c r="J64" s="99">
        <v>4958</v>
      </c>
      <c r="K64" s="99">
        <v>3165</v>
      </c>
      <c r="L64" s="100">
        <v>14601</v>
      </c>
      <c r="M64" s="113">
        <v>11865.0969</v>
      </c>
      <c r="N64" s="101">
        <v>138</v>
      </c>
      <c r="O64" s="101">
        <v>4040</v>
      </c>
      <c r="P64" s="99">
        <v>3298</v>
      </c>
      <c r="Q64" s="99">
        <v>18901</v>
      </c>
      <c r="R64" s="99">
        <v>9461</v>
      </c>
      <c r="S64" s="99">
        <v>3658</v>
      </c>
      <c r="T64" s="99">
        <v>13000</v>
      </c>
      <c r="U64" s="99">
        <v>5952</v>
      </c>
      <c r="V64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64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2077.5093566201899</v>
      </c>
      <c r="X64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1431</v>
      </c>
      <c r="Y64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3286</v>
      </c>
      <c r="Z64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4503</v>
      </c>
      <c r="AA64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493</v>
      </c>
      <c r="AB64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-1601</v>
      </c>
      <c r="AC64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-5913.0969000000005</v>
      </c>
      <c r="AD64" s="115" t="str">
        <f>IFERROR(ROUND((tblPiNHistorical[[#This Row],[CCCM - new]] - tblPiNHistorical[[#This Row],[CCCM - old]])/tblPiNHistorical[[#This Row],[CCCM - old]], 1), "")</f>
        <v/>
      </c>
      <c r="AE64" s="104">
        <f>IFERROR(ROUND((tblPiNHistorical[[#This Row],[Education - new]]-tblPiNHistorical[[#This Row],[Education - old]])/tblPiNHistorical[[#This Row],[Education - old]], 1), "")</f>
        <v>1.1000000000000001</v>
      </c>
      <c r="AF64" s="104">
        <f>IFERROR(ROUND((tblPiNHistorical[[#This Row],[Nutrition - new]]-tblPiNHistorical[[#This Row],[Nutrition - old]])/tblPiNHistorical[[#This Row],[Nutrition - old]], 1), "")</f>
        <v>0.8</v>
      </c>
      <c r="AG64" s="104">
        <f>IFERROR(ROUND((tblPiNHistorical[[#This Row],[Food Security - new]]-tblPiNHistorical[[#This Row],[Food Security - old]])/tblPiNHistorical[[#This Row],[Food Security - old]], 1), "")</f>
        <v>0.2</v>
      </c>
      <c r="AH64" s="104">
        <f>IFERROR(ROUND((tblPiNHistorical[[#This Row],[Health - new]]-tblPiNHistorical[[#This Row],[Health - old]])/tblPiNHistorical[[#This Row],[Health - old]], 1), "")</f>
        <v>0.9</v>
      </c>
      <c r="AI64" s="104">
        <f>IFERROR(ROUND((tblPiNHistorical[[#This Row],[Overarching Protection - new]]-tblPiNHistorical[[#This Row],[Overarching Protection - old]])/tblPiNHistorical[[#This Row],[Overarching Protection - old]], 1), "")</f>
        <v>0.2</v>
      </c>
      <c r="AJ64" s="104">
        <f>IFERROR(ROUND((tblPiNHistorical[[#This Row],[Shelter - new]]-tblPiNHistorical[[#This Row],[Shelter - old]])/tblPiNHistorical[[#This Row],[Shelter - old]], 1), "")</f>
        <v>-0.1</v>
      </c>
      <c r="AK64" s="11">
        <f>IFERROR(ROUND((tblPiNHistorical[[#This Row],[WASH - new]]-tblPiNHistorical[[#This Row],[WASH - old]])/tblPiNHistorical[[#This Row],[WASH - old]], 1), "")</f>
        <v>-0.5</v>
      </c>
    </row>
    <row r="65" spans="1:37" ht="17.649999999999999" customHeight="1" x14ac:dyDescent="0.25">
      <c r="A65" s="97" t="s">
        <v>348</v>
      </c>
      <c r="B65" s="65" t="s">
        <v>358</v>
      </c>
      <c r="C65" s="65" t="s">
        <v>259</v>
      </c>
      <c r="D65" s="40" t="s">
        <v>119</v>
      </c>
      <c r="E65" s="37">
        <v>366051</v>
      </c>
      <c r="F65" s="98">
        <v>2931</v>
      </c>
      <c r="G65" s="99">
        <v>34389.333786968898</v>
      </c>
      <c r="H65" s="99">
        <v>18403</v>
      </c>
      <c r="I65" s="99">
        <v>67864</v>
      </c>
      <c r="J65" s="99">
        <v>234917</v>
      </c>
      <c r="K65" s="99">
        <v>35678</v>
      </c>
      <c r="L65" s="100">
        <v>80278</v>
      </c>
      <c r="M65" s="113">
        <v>146658.01</v>
      </c>
      <c r="N65" s="101">
        <v>7451</v>
      </c>
      <c r="O65" s="101">
        <v>41759</v>
      </c>
      <c r="P65" s="99">
        <v>34324</v>
      </c>
      <c r="Q65" s="99">
        <v>193381</v>
      </c>
      <c r="R65" s="99">
        <v>98062</v>
      </c>
      <c r="S65" s="99">
        <v>79954</v>
      </c>
      <c r="T65" s="99">
        <v>109244</v>
      </c>
      <c r="U65" s="99">
        <v>52626</v>
      </c>
      <c r="V65" s="102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>4520</v>
      </c>
      <c r="W65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7369.6662130311015</v>
      </c>
      <c r="X65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15921</v>
      </c>
      <c r="Y65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125517</v>
      </c>
      <c r="Z65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-136855</v>
      </c>
      <c r="AA65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44276</v>
      </c>
      <c r="AB65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28966</v>
      </c>
      <c r="AC65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-94032.010000000009</v>
      </c>
      <c r="AD65" s="115">
        <f>IFERROR(ROUND((tblPiNHistorical[[#This Row],[CCCM - new]] - tblPiNHistorical[[#This Row],[CCCM - old]])/tblPiNHistorical[[#This Row],[CCCM - old]], 1), "")</f>
        <v>1.5</v>
      </c>
      <c r="AE65" s="104">
        <f>IFERROR(ROUND((tblPiNHistorical[[#This Row],[Education - new]]-tblPiNHistorical[[#This Row],[Education - old]])/tblPiNHistorical[[#This Row],[Education - old]], 1), "")</f>
        <v>0.2</v>
      </c>
      <c r="AF65" s="104">
        <f>IFERROR(ROUND((tblPiNHistorical[[#This Row],[Nutrition - new]]-tblPiNHistorical[[#This Row],[Nutrition - old]])/tblPiNHistorical[[#This Row],[Nutrition - old]], 1), "")</f>
        <v>0.9</v>
      </c>
      <c r="AG65" s="104">
        <f>IFERROR(ROUND((tblPiNHistorical[[#This Row],[Food Security - new]]-tblPiNHistorical[[#This Row],[Food Security - old]])/tblPiNHistorical[[#This Row],[Food Security - old]], 1), "")</f>
        <v>1.8</v>
      </c>
      <c r="AH65" s="104">
        <f>IFERROR(ROUND((tblPiNHistorical[[#This Row],[Health - new]]-tblPiNHistorical[[#This Row],[Health - old]])/tblPiNHistorical[[#This Row],[Health - old]], 1), "")</f>
        <v>-0.6</v>
      </c>
      <c r="AI65" s="104">
        <f>IFERROR(ROUND((tblPiNHistorical[[#This Row],[Overarching Protection - new]]-tblPiNHistorical[[#This Row],[Overarching Protection - old]])/tblPiNHistorical[[#This Row],[Overarching Protection - old]], 1), "")</f>
        <v>1.2</v>
      </c>
      <c r="AJ65" s="104">
        <f>IFERROR(ROUND((tblPiNHistorical[[#This Row],[Shelter - new]]-tblPiNHistorical[[#This Row],[Shelter - old]])/tblPiNHistorical[[#This Row],[Shelter - old]], 1), "")</f>
        <v>0.4</v>
      </c>
      <c r="AK65" s="11">
        <f>IFERROR(ROUND((tblPiNHistorical[[#This Row],[WASH - new]]-tblPiNHistorical[[#This Row],[WASH - old]])/tblPiNHistorical[[#This Row],[WASH - old]], 1), "")</f>
        <v>-0.6</v>
      </c>
    </row>
    <row r="66" spans="1:37" ht="17.649999999999999" customHeight="1" x14ac:dyDescent="0.25">
      <c r="A66" s="97" t="s">
        <v>348</v>
      </c>
      <c r="B66" s="65" t="s">
        <v>358</v>
      </c>
      <c r="C66" s="65" t="s">
        <v>253</v>
      </c>
      <c r="D66" s="40" t="s">
        <v>113</v>
      </c>
      <c r="E66" s="37">
        <v>52529</v>
      </c>
      <c r="F66" s="98">
        <v>600</v>
      </c>
      <c r="G66" s="99">
        <v>3390.4084933312074</v>
      </c>
      <c r="H66" s="99">
        <v>2645</v>
      </c>
      <c r="I66" s="99">
        <v>25610</v>
      </c>
      <c r="J66" s="99">
        <v>22110</v>
      </c>
      <c r="K66" s="99">
        <v>3870</v>
      </c>
      <c r="L66" s="100">
        <v>3908</v>
      </c>
      <c r="M66" s="113">
        <v>10037.184300000001</v>
      </c>
      <c r="N66" s="101">
        <v>1122</v>
      </c>
      <c r="O66" s="101">
        <v>6008</v>
      </c>
      <c r="P66" s="99">
        <v>4541</v>
      </c>
      <c r="Q66" s="99">
        <v>27900</v>
      </c>
      <c r="R66" s="99">
        <v>13693</v>
      </c>
      <c r="S66" s="99">
        <v>4530</v>
      </c>
      <c r="T66" s="99">
        <v>20000</v>
      </c>
      <c r="U66" s="99">
        <v>12413</v>
      </c>
      <c r="V66" s="102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>522</v>
      </c>
      <c r="W66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2617.5915066687926</v>
      </c>
      <c r="X66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1896</v>
      </c>
      <c r="Y66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2290</v>
      </c>
      <c r="Z66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-8417</v>
      </c>
      <c r="AA66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660</v>
      </c>
      <c r="AB66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16092</v>
      </c>
      <c r="AC66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2375.8156999999992</v>
      </c>
      <c r="AD66" s="115">
        <f>IFERROR(ROUND((tblPiNHistorical[[#This Row],[CCCM - new]] - tblPiNHistorical[[#This Row],[CCCM - old]])/tblPiNHistorical[[#This Row],[CCCM - old]], 1), "")</f>
        <v>0.9</v>
      </c>
      <c r="AE66" s="104">
        <f>IFERROR(ROUND((tblPiNHistorical[[#This Row],[Education - new]]-tblPiNHistorical[[#This Row],[Education - old]])/tblPiNHistorical[[#This Row],[Education - old]], 1), "")</f>
        <v>0.8</v>
      </c>
      <c r="AF66" s="104">
        <f>IFERROR(ROUND((tblPiNHistorical[[#This Row],[Nutrition - new]]-tblPiNHistorical[[#This Row],[Nutrition - old]])/tblPiNHistorical[[#This Row],[Nutrition - old]], 1), "")</f>
        <v>0.7</v>
      </c>
      <c r="AG66" s="104">
        <f>IFERROR(ROUND((tblPiNHistorical[[#This Row],[Food Security - new]]-tblPiNHistorical[[#This Row],[Food Security - old]])/tblPiNHistorical[[#This Row],[Food Security - old]], 1), "")</f>
        <v>0.1</v>
      </c>
      <c r="AH66" s="104">
        <f>IFERROR(ROUND((tblPiNHistorical[[#This Row],[Health - new]]-tblPiNHistorical[[#This Row],[Health - old]])/tblPiNHistorical[[#This Row],[Health - old]], 1), "")</f>
        <v>-0.4</v>
      </c>
      <c r="AI66" s="104">
        <f>IFERROR(ROUND((tblPiNHistorical[[#This Row],[Overarching Protection - new]]-tblPiNHistorical[[#This Row],[Overarching Protection - old]])/tblPiNHistorical[[#This Row],[Overarching Protection - old]], 1), "")</f>
        <v>0.2</v>
      </c>
      <c r="AJ66" s="104">
        <f>IFERROR(ROUND((tblPiNHistorical[[#This Row],[Shelter - new]]-tblPiNHistorical[[#This Row],[Shelter - old]])/tblPiNHistorical[[#This Row],[Shelter - old]], 1), "")</f>
        <v>4.0999999999999996</v>
      </c>
      <c r="AK66" s="11">
        <f>IFERROR(ROUND((tblPiNHistorical[[#This Row],[WASH - new]]-tblPiNHistorical[[#This Row],[WASH - old]])/tblPiNHistorical[[#This Row],[WASH - old]], 1), "")</f>
        <v>0.2</v>
      </c>
    </row>
    <row r="67" spans="1:37" ht="17.649999999999999" customHeight="1" x14ac:dyDescent="0.25">
      <c r="A67" s="97" t="s">
        <v>348</v>
      </c>
      <c r="B67" s="65" t="s">
        <v>358</v>
      </c>
      <c r="C67" s="65" t="s">
        <v>274</v>
      </c>
      <c r="D67" s="40" t="s">
        <v>134</v>
      </c>
      <c r="E67" s="37">
        <v>44802</v>
      </c>
      <c r="F67" s="98">
        <v>380</v>
      </c>
      <c r="G67" s="99">
        <v>3688.1689198912331</v>
      </c>
      <c r="H67" s="99">
        <v>2332</v>
      </c>
      <c r="I67" s="99">
        <v>22580</v>
      </c>
      <c r="J67" s="99">
        <v>23753</v>
      </c>
      <c r="K67" s="99">
        <v>4079</v>
      </c>
      <c r="L67" s="100">
        <v>0</v>
      </c>
      <c r="M67" s="113">
        <v>0</v>
      </c>
      <c r="N67" s="101">
        <v>180</v>
      </c>
      <c r="O67" s="101">
        <v>4933</v>
      </c>
      <c r="P67" s="99">
        <v>4067</v>
      </c>
      <c r="Q67" s="99">
        <v>22139</v>
      </c>
      <c r="R67" s="99">
        <v>11227</v>
      </c>
      <c r="S67" s="99">
        <v>4636</v>
      </c>
      <c r="T67" s="99">
        <v>0</v>
      </c>
      <c r="U67" s="99">
        <v>6069</v>
      </c>
      <c r="V67" s="102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>-200</v>
      </c>
      <c r="W67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1244.8310801087669</v>
      </c>
      <c r="X67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1735</v>
      </c>
      <c r="Y67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-441</v>
      </c>
      <c r="Z67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-12526</v>
      </c>
      <c r="AA67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557</v>
      </c>
      <c r="AB67" s="103" t="str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/>
      </c>
      <c r="AC67" s="114" t="str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/>
      </c>
      <c r="AD67" s="115">
        <f>IFERROR(ROUND((tblPiNHistorical[[#This Row],[CCCM - new]] - tblPiNHistorical[[#This Row],[CCCM - old]])/tblPiNHistorical[[#This Row],[CCCM - old]], 1), "")</f>
        <v>-0.5</v>
      </c>
      <c r="AE67" s="104">
        <f>IFERROR(ROUND((tblPiNHistorical[[#This Row],[Education - new]]-tblPiNHistorical[[#This Row],[Education - old]])/tblPiNHistorical[[#This Row],[Education - old]], 1), "")</f>
        <v>0.3</v>
      </c>
      <c r="AF67" s="104">
        <f>IFERROR(ROUND((tblPiNHistorical[[#This Row],[Nutrition - new]]-tblPiNHistorical[[#This Row],[Nutrition - old]])/tblPiNHistorical[[#This Row],[Nutrition - old]], 1), "")</f>
        <v>0.7</v>
      </c>
      <c r="AG67" s="104">
        <f>IFERROR(ROUND((tblPiNHistorical[[#This Row],[Food Security - new]]-tblPiNHistorical[[#This Row],[Food Security - old]])/tblPiNHistorical[[#This Row],[Food Security - old]], 1), "")</f>
        <v>0</v>
      </c>
      <c r="AH67" s="104">
        <f>IFERROR(ROUND((tblPiNHistorical[[#This Row],[Health - new]]-tblPiNHistorical[[#This Row],[Health - old]])/tblPiNHistorical[[#This Row],[Health - old]], 1), "")</f>
        <v>-0.5</v>
      </c>
      <c r="AI67" s="104">
        <f>IFERROR(ROUND((tblPiNHistorical[[#This Row],[Overarching Protection - new]]-tblPiNHistorical[[#This Row],[Overarching Protection - old]])/tblPiNHistorical[[#This Row],[Overarching Protection - old]], 1), "")</f>
        <v>0.1</v>
      </c>
      <c r="AJ67" s="104" t="str">
        <f>IFERROR(ROUND((tblPiNHistorical[[#This Row],[Shelter - new]]-tblPiNHistorical[[#This Row],[Shelter - old]])/tblPiNHistorical[[#This Row],[Shelter - old]], 1), "")</f>
        <v/>
      </c>
      <c r="AK67" s="11" t="str">
        <f>IFERROR(ROUND((tblPiNHistorical[[#This Row],[WASH - new]]-tblPiNHistorical[[#This Row],[WASH - old]])/tblPiNHistorical[[#This Row],[WASH - old]], 1), "")</f>
        <v/>
      </c>
    </row>
    <row r="68" spans="1:37" ht="17.649999999999999" customHeight="1" x14ac:dyDescent="0.25">
      <c r="A68" s="97" t="s">
        <v>348</v>
      </c>
      <c r="B68" s="65" t="s">
        <v>358</v>
      </c>
      <c r="C68" s="65" t="s">
        <v>266</v>
      </c>
      <c r="D68" s="40" t="s">
        <v>126</v>
      </c>
      <c r="E68" s="37">
        <v>162808</v>
      </c>
      <c r="F68" s="98">
        <v>2452</v>
      </c>
      <c r="G68" s="99">
        <v>11801.533223434604</v>
      </c>
      <c r="H68" s="99">
        <v>7432</v>
      </c>
      <c r="I68" s="99">
        <v>75837</v>
      </c>
      <c r="J68" s="99">
        <v>57716</v>
      </c>
      <c r="K68" s="99">
        <v>28436</v>
      </c>
      <c r="L68" s="100">
        <v>22671</v>
      </c>
      <c r="M68" s="113">
        <v>58558.762499999997</v>
      </c>
      <c r="N68" s="101">
        <v>7124</v>
      </c>
      <c r="O68" s="101">
        <v>20073</v>
      </c>
      <c r="P68" s="99">
        <v>14436</v>
      </c>
      <c r="Q68" s="99">
        <v>82617</v>
      </c>
      <c r="R68" s="99">
        <v>46114</v>
      </c>
      <c r="S68" s="99">
        <v>16871</v>
      </c>
      <c r="T68" s="99">
        <v>83250</v>
      </c>
      <c r="U68" s="99">
        <v>34537</v>
      </c>
      <c r="V68" s="102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>4672</v>
      </c>
      <c r="W68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8271.4667765653958</v>
      </c>
      <c r="X68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7004</v>
      </c>
      <c r="Y68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6780</v>
      </c>
      <c r="Z68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-11602</v>
      </c>
      <c r="AA68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-11565</v>
      </c>
      <c r="AB68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60579</v>
      </c>
      <c r="AC68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-24021.762499999997</v>
      </c>
      <c r="AD68" s="115">
        <f>IFERROR(ROUND((tblPiNHistorical[[#This Row],[CCCM - new]] - tblPiNHistorical[[#This Row],[CCCM - old]])/tblPiNHistorical[[#This Row],[CCCM - old]], 1), "")</f>
        <v>1.9</v>
      </c>
      <c r="AE68" s="104">
        <f>IFERROR(ROUND((tblPiNHistorical[[#This Row],[Education - new]]-tblPiNHistorical[[#This Row],[Education - old]])/tblPiNHistorical[[#This Row],[Education - old]], 1), "")</f>
        <v>0.7</v>
      </c>
      <c r="AF68" s="104">
        <f>IFERROR(ROUND((tblPiNHistorical[[#This Row],[Nutrition - new]]-tblPiNHistorical[[#This Row],[Nutrition - old]])/tblPiNHistorical[[#This Row],[Nutrition - old]], 1), "")</f>
        <v>0.9</v>
      </c>
      <c r="AG68" s="104">
        <f>IFERROR(ROUND((tblPiNHistorical[[#This Row],[Food Security - new]]-tblPiNHistorical[[#This Row],[Food Security - old]])/tblPiNHistorical[[#This Row],[Food Security - old]], 1), "")</f>
        <v>0.1</v>
      </c>
      <c r="AH68" s="104">
        <f>IFERROR(ROUND((tblPiNHistorical[[#This Row],[Health - new]]-tblPiNHistorical[[#This Row],[Health - old]])/tblPiNHistorical[[#This Row],[Health - old]], 1), "")</f>
        <v>-0.2</v>
      </c>
      <c r="AI68" s="104">
        <f>IFERROR(ROUND((tblPiNHistorical[[#This Row],[Overarching Protection - new]]-tblPiNHistorical[[#This Row],[Overarching Protection - old]])/tblPiNHistorical[[#This Row],[Overarching Protection - old]], 1), "")</f>
        <v>-0.4</v>
      </c>
      <c r="AJ68" s="104">
        <f>IFERROR(ROUND((tblPiNHistorical[[#This Row],[Shelter - new]]-tblPiNHistorical[[#This Row],[Shelter - old]])/tblPiNHistorical[[#This Row],[Shelter - old]], 1), "")</f>
        <v>2.7</v>
      </c>
      <c r="AK68" s="11">
        <f>IFERROR(ROUND((tblPiNHistorical[[#This Row],[WASH - new]]-tblPiNHistorical[[#This Row],[WASH - old]])/tblPiNHistorical[[#This Row],[WASH - old]], 1), "")</f>
        <v>-0.4</v>
      </c>
    </row>
    <row r="69" spans="1:37" ht="17.649999999999999" customHeight="1" x14ac:dyDescent="0.25">
      <c r="A69" s="97" t="s">
        <v>348</v>
      </c>
      <c r="B69" s="65" t="s">
        <v>358</v>
      </c>
      <c r="C69" s="65" t="s">
        <v>331</v>
      </c>
      <c r="D69" s="40" t="s">
        <v>191</v>
      </c>
      <c r="E69" s="37">
        <v>32784</v>
      </c>
      <c r="F69" s="98">
        <v>650</v>
      </c>
      <c r="G69" s="99">
        <v>1663.9706354879784</v>
      </c>
      <c r="H69" s="99">
        <v>1614</v>
      </c>
      <c r="I69" s="99">
        <v>14064</v>
      </c>
      <c r="J69" s="99">
        <v>13774</v>
      </c>
      <c r="K69" s="99">
        <v>2055</v>
      </c>
      <c r="L69" s="100">
        <v>0</v>
      </c>
      <c r="M69" s="113">
        <v>9589.5</v>
      </c>
      <c r="N69" s="101">
        <v>3798</v>
      </c>
      <c r="O69" s="101">
        <v>4058</v>
      </c>
      <c r="P69" s="99">
        <v>2750</v>
      </c>
      <c r="Q69" s="99">
        <v>15321</v>
      </c>
      <c r="R69" s="99">
        <v>13444</v>
      </c>
      <c r="S69" s="99">
        <v>2656</v>
      </c>
      <c r="T69" s="99">
        <v>8551</v>
      </c>
      <c r="U69" s="99">
        <v>14189</v>
      </c>
      <c r="V69" s="102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>3148</v>
      </c>
      <c r="W69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2394.0293645120219</v>
      </c>
      <c r="X69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1136</v>
      </c>
      <c r="Y69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1257</v>
      </c>
      <c r="Z69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-330</v>
      </c>
      <c r="AA69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601</v>
      </c>
      <c r="AB69" s="103" t="str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/>
      </c>
      <c r="AC69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4599.5</v>
      </c>
      <c r="AD69" s="115">
        <f>IFERROR(ROUND((tblPiNHistorical[[#This Row],[CCCM - new]] - tblPiNHistorical[[#This Row],[CCCM - old]])/tblPiNHistorical[[#This Row],[CCCM - old]], 1), "")</f>
        <v>4.8</v>
      </c>
      <c r="AE69" s="104">
        <f>IFERROR(ROUND((tblPiNHistorical[[#This Row],[Education - new]]-tblPiNHistorical[[#This Row],[Education - old]])/tblPiNHistorical[[#This Row],[Education - old]], 1), "")</f>
        <v>1.4</v>
      </c>
      <c r="AF69" s="104">
        <f>IFERROR(ROUND((tblPiNHistorical[[#This Row],[Nutrition - new]]-tblPiNHistorical[[#This Row],[Nutrition - old]])/tblPiNHistorical[[#This Row],[Nutrition - old]], 1), "")</f>
        <v>0.7</v>
      </c>
      <c r="AG69" s="104">
        <f>IFERROR(ROUND((tblPiNHistorical[[#This Row],[Food Security - new]]-tblPiNHistorical[[#This Row],[Food Security - old]])/tblPiNHistorical[[#This Row],[Food Security - old]], 1), "")</f>
        <v>0.1</v>
      </c>
      <c r="AH69" s="104">
        <f>IFERROR(ROUND((tblPiNHistorical[[#This Row],[Health - new]]-tblPiNHistorical[[#This Row],[Health - old]])/tblPiNHistorical[[#This Row],[Health - old]], 1), "")</f>
        <v>0</v>
      </c>
      <c r="AI69" s="104">
        <f>IFERROR(ROUND((tblPiNHistorical[[#This Row],[Overarching Protection - new]]-tblPiNHistorical[[#This Row],[Overarching Protection - old]])/tblPiNHistorical[[#This Row],[Overarching Protection - old]], 1), "")</f>
        <v>0.3</v>
      </c>
      <c r="AJ69" s="104" t="str">
        <f>IFERROR(ROUND((tblPiNHistorical[[#This Row],[Shelter - new]]-tblPiNHistorical[[#This Row],[Shelter - old]])/tblPiNHistorical[[#This Row],[Shelter - old]], 1), "")</f>
        <v/>
      </c>
      <c r="AK69" s="11">
        <f>IFERROR(ROUND((tblPiNHistorical[[#This Row],[WASH - new]]-tblPiNHistorical[[#This Row],[WASH - old]])/tblPiNHistorical[[#This Row],[WASH - old]], 1), "")</f>
        <v>0.5</v>
      </c>
    </row>
    <row r="70" spans="1:37" ht="17.649999999999999" customHeight="1" x14ac:dyDescent="0.25">
      <c r="A70" s="97" t="s">
        <v>348</v>
      </c>
      <c r="B70" s="65" t="s">
        <v>358</v>
      </c>
      <c r="C70" s="65" t="s">
        <v>209</v>
      </c>
      <c r="D70" s="40" t="s">
        <v>69</v>
      </c>
      <c r="E70" s="37">
        <v>47668</v>
      </c>
      <c r="F70" s="98">
        <v>325</v>
      </c>
      <c r="G70" s="99">
        <v>5134.1983573842299</v>
      </c>
      <c r="H70" s="99">
        <v>2241</v>
      </c>
      <c r="I70" s="99">
        <v>19528</v>
      </c>
      <c r="J70" s="99">
        <v>16477</v>
      </c>
      <c r="K70" s="99">
        <v>5774</v>
      </c>
      <c r="L70" s="100">
        <v>0</v>
      </c>
      <c r="M70" s="113">
        <v>27617.905900000002</v>
      </c>
      <c r="N70" s="101">
        <v>5334</v>
      </c>
      <c r="O70" s="101">
        <v>5906</v>
      </c>
      <c r="P70" s="99">
        <v>4681</v>
      </c>
      <c r="Q70" s="99">
        <v>21274</v>
      </c>
      <c r="R70" s="99">
        <v>18046</v>
      </c>
      <c r="S70" s="99">
        <v>7758</v>
      </c>
      <c r="T70" s="99">
        <v>19000</v>
      </c>
      <c r="U70" s="99">
        <v>23849</v>
      </c>
      <c r="V70" s="102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>5009</v>
      </c>
      <c r="W70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771.80164261577011</v>
      </c>
      <c r="X70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2440</v>
      </c>
      <c r="Y70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1746</v>
      </c>
      <c r="Z70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1569</v>
      </c>
      <c r="AA70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1984</v>
      </c>
      <c r="AB70" s="103" t="str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/>
      </c>
      <c r="AC70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-3768.9059000000016</v>
      </c>
      <c r="AD70" s="115">
        <f>IFERROR(ROUND((tblPiNHistorical[[#This Row],[CCCM - new]] - tblPiNHistorical[[#This Row],[CCCM - old]])/tblPiNHistorical[[#This Row],[CCCM - old]], 1), "")</f>
        <v>15.4</v>
      </c>
      <c r="AE70" s="104">
        <f>IFERROR(ROUND((tblPiNHistorical[[#This Row],[Education - new]]-tblPiNHistorical[[#This Row],[Education - old]])/tblPiNHistorical[[#This Row],[Education - old]], 1), "")</f>
        <v>0.2</v>
      </c>
      <c r="AF70" s="104">
        <f>IFERROR(ROUND((tblPiNHistorical[[#This Row],[Nutrition - new]]-tblPiNHistorical[[#This Row],[Nutrition - old]])/tblPiNHistorical[[#This Row],[Nutrition - old]], 1), "")</f>
        <v>1.1000000000000001</v>
      </c>
      <c r="AG70" s="104">
        <f>IFERROR(ROUND((tblPiNHistorical[[#This Row],[Food Security - new]]-tblPiNHistorical[[#This Row],[Food Security - old]])/tblPiNHistorical[[#This Row],[Food Security - old]], 1), "")</f>
        <v>0.1</v>
      </c>
      <c r="AH70" s="104">
        <f>IFERROR(ROUND((tblPiNHistorical[[#This Row],[Health - new]]-tblPiNHistorical[[#This Row],[Health - old]])/tblPiNHistorical[[#This Row],[Health - old]], 1), "")</f>
        <v>0.1</v>
      </c>
      <c r="AI70" s="104">
        <f>IFERROR(ROUND((tblPiNHistorical[[#This Row],[Overarching Protection - new]]-tblPiNHistorical[[#This Row],[Overarching Protection - old]])/tblPiNHistorical[[#This Row],[Overarching Protection - old]], 1), "")</f>
        <v>0.3</v>
      </c>
      <c r="AJ70" s="104" t="str">
        <f>IFERROR(ROUND((tblPiNHistorical[[#This Row],[Shelter - new]]-tblPiNHistorical[[#This Row],[Shelter - old]])/tblPiNHistorical[[#This Row],[Shelter - old]], 1), "")</f>
        <v/>
      </c>
      <c r="AK70" s="11">
        <f>IFERROR(ROUND((tblPiNHistorical[[#This Row],[WASH - new]]-tblPiNHistorical[[#This Row],[WASH - old]])/tblPiNHistorical[[#This Row],[WASH - old]], 1), "")</f>
        <v>-0.1</v>
      </c>
    </row>
    <row r="71" spans="1:37" ht="17.649999999999999" customHeight="1" x14ac:dyDescent="0.25">
      <c r="A71" s="97" t="s">
        <v>348</v>
      </c>
      <c r="B71" s="65" t="s">
        <v>358</v>
      </c>
      <c r="C71" s="65" t="s">
        <v>322</v>
      </c>
      <c r="D71" s="40" t="s">
        <v>182</v>
      </c>
      <c r="E71" s="37">
        <v>281577</v>
      </c>
      <c r="F71" s="98">
        <v>5303</v>
      </c>
      <c r="G71" s="99">
        <v>30221.555415439016</v>
      </c>
      <c r="H71" s="99">
        <v>13771</v>
      </c>
      <c r="I71" s="99">
        <v>119989</v>
      </c>
      <c r="J71" s="99">
        <v>194085</v>
      </c>
      <c r="K71" s="99">
        <v>75216</v>
      </c>
      <c r="L71" s="100">
        <v>77985</v>
      </c>
      <c r="M71" s="113">
        <v>68726.495500000005</v>
      </c>
      <c r="N71" s="101">
        <v>15993</v>
      </c>
      <c r="O71" s="101">
        <v>31716</v>
      </c>
      <c r="P71" s="99">
        <v>24999</v>
      </c>
      <c r="Q71" s="99">
        <v>130717</v>
      </c>
      <c r="R71" s="99">
        <v>85406</v>
      </c>
      <c r="S71" s="99">
        <v>38019</v>
      </c>
      <c r="T71" s="99">
        <v>63548</v>
      </c>
      <c r="U71" s="99">
        <v>77623</v>
      </c>
      <c r="V71" s="102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>10690</v>
      </c>
      <c r="W71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1494.4445845609844</v>
      </c>
      <c r="X71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11228</v>
      </c>
      <c r="Y71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10728</v>
      </c>
      <c r="Z71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-108679</v>
      </c>
      <c r="AA71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-37197</v>
      </c>
      <c r="AB71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-14437</v>
      </c>
      <c r="AC71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8896.5044999999955</v>
      </c>
      <c r="AD71" s="115">
        <f>IFERROR(ROUND((tblPiNHistorical[[#This Row],[CCCM - new]] - tblPiNHistorical[[#This Row],[CCCM - old]])/tblPiNHistorical[[#This Row],[CCCM - old]], 1), "")</f>
        <v>2</v>
      </c>
      <c r="AE71" s="104">
        <f>IFERROR(ROUND((tblPiNHistorical[[#This Row],[Education - new]]-tblPiNHistorical[[#This Row],[Education - old]])/tblPiNHistorical[[#This Row],[Education - old]], 1), "")</f>
        <v>0</v>
      </c>
      <c r="AF71" s="104">
        <f>IFERROR(ROUND((tblPiNHistorical[[#This Row],[Nutrition - new]]-tblPiNHistorical[[#This Row],[Nutrition - old]])/tblPiNHistorical[[#This Row],[Nutrition - old]], 1), "")</f>
        <v>0.8</v>
      </c>
      <c r="AG71" s="104">
        <f>IFERROR(ROUND((tblPiNHistorical[[#This Row],[Food Security - new]]-tblPiNHistorical[[#This Row],[Food Security - old]])/tblPiNHistorical[[#This Row],[Food Security - old]], 1), "")</f>
        <v>0.1</v>
      </c>
      <c r="AH71" s="104">
        <f>IFERROR(ROUND((tblPiNHistorical[[#This Row],[Health - new]]-tblPiNHistorical[[#This Row],[Health - old]])/tblPiNHistorical[[#This Row],[Health - old]], 1), "")</f>
        <v>-0.6</v>
      </c>
      <c r="AI71" s="104">
        <f>IFERROR(ROUND((tblPiNHistorical[[#This Row],[Overarching Protection - new]]-tblPiNHistorical[[#This Row],[Overarching Protection - old]])/tblPiNHistorical[[#This Row],[Overarching Protection - old]], 1), "")</f>
        <v>-0.5</v>
      </c>
      <c r="AJ71" s="104">
        <f>IFERROR(ROUND((tblPiNHistorical[[#This Row],[Shelter - new]]-tblPiNHistorical[[#This Row],[Shelter - old]])/tblPiNHistorical[[#This Row],[Shelter - old]], 1), "")</f>
        <v>-0.2</v>
      </c>
      <c r="AK71" s="11">
        <f>IFERROR(ROUND((tblPiNHistorical[[#This Row],[WASH - new]]-tblPiNHistorical[[#This Row],[WASH - old]])/tblPiNHistorical[[#This Row],[WASH - old]], 1), "")</f>
        <v>0.1</v>
      </c>
    </row>
    <row r="72" spans="1:37" ht="17.649999999999999" customHeight="1" x14ac:dyDescent="0.25">
      <c r="A72" s="97" t="s">
        <v>348</v>
      </c>
      <c r="B72" s="65" t="s">
        <v>358</v>
      </c>
      <c r="C72" s="65" t="s">
        <v>341</v>
      </c>
      <c r="D72" s="40" t="s">
        <v>201</v>
      </c>
      <c r="E72" s="37">
        <v>146485</v>
      </c>
      <c r="F72" s="98">
        <v>1585</v>
      </c>
      <c r="G72" s="99">
        <v>16598.235060038383</v>
      </c>
      <c r="H72" s="99">
        <v>7479</v>
      </c>
      <c r="I72" s="99">
        <v>52615</v>
      </c>
      <c r="J72" s="99">
        <v>120115</v>
      </c>
      <c r="K72" s="99">
        <v>41228</v>
      </c>
      <c r="L72" s="100">
        <v>0</v>
      </c>
      <c r="M72" s="113">
        <v>76524.800000000003</v>
      </c>
      <c r="N72" s="101">
        <v>13572</v>
      </c>
      <c r="O72" s="101">
        <v>16884</v>
      </c>
      <c r="P72" s="99">
        <v>13276</v>
      </c>
      <c r="Q72" s="99">
        <v>70992</v>
      </c>
      <c r="R72" s="99">
        <v>54776</v>
      </c>
      <c r="S72" s="99">
        <v>31358</v>
      </c>
      <c r="T72" s="99">
        <v>80000</v>
      </c>
      <c r="U72" s="99">
        <v>57225</v>
      </c>
      <c r="V72" s="102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>11987</v>
      </c>
      <c r="W72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285.76493996161662</v>
      </c>
      <c r="X72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5797</v>
      </c>
      <c r="Y72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18377</v>
      </c>
      <c r="Z72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-65339</v>
      </c>
      <c r="AA72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-9870</v>
      </c>
      <c r="AB72" s="103" t="str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/>
      </c>
      <c r="AC72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-19299.800000000003</v>
      </c>
      <c r="AD72" s="115">
        <f>IFERROR(ROUND((tblPiNHistorical[[#This Row],[CCCM - new]] - tblPiNHistorical[[#This Row],[CCCM - old]])/tblPiNHistorical[[#This Row],[CCCM - old]], 1), "")</f>
        <v>7.6</v>
      </c>
      <c r="AE72" s="104">
        <f>IFERROR(ROUND((tblPiNHistorical[[#This Row],[Education - new]]-tblPiNHistorical[[#This Row],[Education - old]])/tblPiNHistorical[[#This Row],[Education - old]], 1), "")</f>
        <v>0</v>
      </c>
      <c r="AF72" s="104">
        <f>IFERROR(ROUND((tblPiNHistorical[[#This Row],[Nutrition - new]]-tblPiNHistorical[[#This Row],[Nutrition - old]])/tblPiNHistorical[[#This Row],[Nutrition - old]], 1), "")</f>
        <v>0.8</v>
      </c>
      <c r="AG72" s="104">
        <f>IFERROR(ROUND((tblPiNHistorical[[#This Row],[Food Security - new]]-tblPiNHistorical[[#This Row],[Food Security - old]])/tblPiNHistorical[[#This Row],[Food Security - old]], 1), "")</f>
        <v>0.3</v>
      </c>
      <c r="AH72" s="104">
        <f>IFERROR(ROUND((tblPiNHistorical[[#This Row],[Health - new]]-tblPiNHistorical[[#This Row],[Health - old]])/tblPiNHistorical[[#This Row],[Health - old]], 1), "")</f>
        <v>-0.5</v>
      </c>
      <c r="AI72" s="104">
        <f>IFERROR(ROUND((tblPiNHistorical[[#This Row],[Overarching Protection - new]]-tblPiNHistorical[[#This Row],[Overarching Protection - old]])/tblPiNHistorical[[#This Row],[Overarching Protection - old]], 1), "")</f>
        <v>-0.2</v>
      </c>
      <c r="AJ72" s="104" t="str">
        <f>IFERROR(ROUND((tblPiNHistorical[[#This Row],[Shelter - new]]-tblPiNHistorical[[#This Row],[Shelter - old]])/tblPiNHistorical[[#This Row],[Shelter - old]], 1), "")</f>
        <v/>
      </c>
      <c r="AK72" s="11">
        <f>IFERROR(ROUND((tblPiNHistorical[[#This Row],[WASH - new]]-tblPiNHistorical[[#This Row],[WASH - old]])/tblPiNHistorical[[#This Row],[WASH - old]], 1), "")</f>
        <v>-0.3</v>
      </c>
    </row>
    <row r="73" spans="1:37" ht="17.649999999999999" customHeight="1" x14ac:dyDescent="0.25">
      <c r="A73" s="97" t="s">
        <v>348</v>
      </c>
      <c r="B73" s="65" t="s">
        <v>358</v>
      </c>
      <c r="C73" s="65" t="s">
        <v>275</v>
      </c>
      <c r="D73" s="40" t="s">
        <v>135</v>
      </c>
      <c r="E73" s="37">
        <v>32609</v>
      </c>
      <c r="F73" s="98">
        <v>700</v>
      </c>
      <c r="G73" s="99">
        <v>2655.5510303465271</v>
      </c>
      <c r="H73" s="99">
        <v>1630</v>
      </c>
      <c r="I73" s="99">
        <v>14199</v>
      </c>
      <c r="J73" s="99">
        <v>18827</v>
      </c>
      <c r="K73" s="99">
        <v>3187</v>
      </c>
      <c r="L73" s="100">
        <v>0</v>
      </c>
      <c r="M73" s="113">
        <v>14177.085000000001</v>
      </c>
      <c r="N73" s="101">
        <v>840</v>
      </c>
      <c r="O73" s="101">
        <v>3818</v>
      </c>
      <c r="P73" s="99">
        <v>2960</v>
      </c>
      <c r="Q73" s="99">
        <v>15468</v>
      </c>
      <c r="R73" s="99">
        <v>9597</v>
      </c>
      <c r="S73" s="99">
        <v>3570</v>
      </c>
      <c r="T73" s="99">
        <v>12034</v>
      </c>
      <c r="U73" s="99">
        <v>7260</v>
      </c>
      <c r="V73" s="102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>140</v>
      </c>
      <c r="W73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1162.4489696534729</v>
      </c>
      <c r="X73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1330</v>
      </c>
      <c r="Y73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1269</v>
      </c>
      <c r="Z73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-9230</v>
      </c>
      <c r="AA73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383</v>
      </c>
      <c r="AB73" s="103" t="str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/>
      </c>
      <c r="AC73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-6917.0850000000009</v>
      </c>
      <c r="AD73" s="115">
        <f>IFERROR(ROUND((tblPiNHistorical[[#This Row],[CCCM - new]] - tblPiNHistorical[[#This Row],[CCCM - old]])/tblPiNHistorical[[#This Row],[CCCM - old]], 1), "")</f>
        <v>0.2</v>
      </c>
      <c r="AE73" s="104">
        <f>IFERROR(ROUND((tblPiNHistorical[[#This Row],[Education - new]]-tblPiNHistorical[[#This Row],[Education - old]])/tblPiNHistorical[[#This Row],[Education - old]], 1), "")</f>
        <v>0.4</v>
      </c>
      <c r="AF73" s="104">
        <f>IFERROR(ROUND((tblPiNHistorical[[#This Row],[Nutrition - new]]-tblPiNHistorical[[#This Row],[Nutrition - old]])/tblPiNHistorical[[#This Row],[Nutrition - old]], 1), "")</f>
        <v>0.8</v>
      </c>
      <c r="AG73" s="104">
        <f>IFERROR(ROUND((tblPiNHistorical[[#This Row],[Food Security - new]]-tblPiNHistorical[[#This Row],[Food Security - old]])/tblPiNHistorical[[#This Row],[Food Security - old]], 1), "")</f>
        <v>0.1</v>
      </c>
      <c r="AH73" s="104">
        <f>IFERROR(ROUND((tblPiNHistorical[[#This Row],[Health - new]]-tblPiNHistorical[[#This Row],[Health - old]])/tblPiNHistorical[[#This Row],[Health - old]], 1), "")</f>
        <v>-0.5</v>
      </c>
      <c r="AI73" s="104">
        <f>IFERROR(ROUND((tblPiNHistorical[[#This Row],[Overarching Protection - new]]-tblPiNHistorical[[#This Row],[Overarching Protection - old]])/tblPiNHistorical[[#This Row],[Overarching Protection - old]], 1), "")</f>
        <v>0.1</v>
      </c>
      <c r="AJ73" s="104" t="str">
        <f>IFERROR(ROUND((tblPiNHistorical[[#This Row],[Shelter - new]]-tblPiNHistorical[[#This Row],[Shelter - old]])/tblPiNHistorical[[#This Row],[Shelter - old]], 1), "")</f>
        <v/>
      </c>
      <c r="AK73" s="11">
        <f>IFERROR(ROUND((tblPiNHistorical[[#This Row],[WASH - new]]-tblPiNHistorical[[#This Row],[WASH - old]])/tblPiNHistorical[[#This Row],[WASH - old]], 1), "")</f>
        <v>-0.5</v>
      </c>
    </row>
    <row r="74" spans="1:37" ht="17.649999999999999" customHeight="1" x14ac:dyDescent="0.25">
      <c r="A74" s="97" t="s">
        <v>348</v>
      </c>
      <c r="B74" s="65" t="s">
        <v>358</v>
      </c>
      <c r="C74" s="65" t="s">
        <v>251</v>
      </c>
      <c r="D74" s="40" t="s">
        <v>111</v>
      </c>
      <c r="E74" s="37">
        <v>185387</v>
      </c>
      <c r="F74" s="98">
        <v>1518</v>
      </c>
      <c r="G74" s="99">
        <v>16249.025935066325</v>
      </c>
      <c r="H74" s="99">
        <v>9395</v>
      </c>
      <c r="I74" s="99">
        <v>90951</v>
      </c>
      <c r="J74" s="99">
        <v>99694</v>
      </c>
      <c r="K74" s="99">
        <v>18666</v>
      </c>
      <c r="L74" s="100">
        <v>10405</v>
      </c>
      <c r="M74" s="113">
        <v>24337.945650000001</v>
      </c>
      <c r="N74" s="101">
        <v>2874</v>
      </c>
      <c r="O74" s="101">
        <v>20966</v>
      </c>
      <c r="P74" s="99">
        <v>17095</v>
      </c>
      <c r="Q74" s="99">
        <v>89175</v>
      </c>
      <c r="R74" s="99">
        <v>45084</v>
      </c>
      <c r="S74" s="99">
        <v>39414</v>
      </c>
      <c r="T74" s="99">
        <v>42563</v>
      </c>
      <c r="U74" s="99">
        <v>25479</v>
      </c>
      <c r="V74" s="102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>1356</v>
      </c>
      <c r="W74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4716.9740649336745</v>
      </c>
      <c r="X74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7700</v>
      </c>
      <c r="Y74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-1776</v>
      </c>
      <c r="Z74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-54610</v>
      </c>
      <c r="AA74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20748</v>
      </c>
      <c r="AB74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32158</v>
      </c>
      <c r="AC74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1141.0543499999985</v>
      </c>
      <c r="AD74" s="115">
        <f>IFERROR(ROUND((tblPiNHistorical[[#This Row],[CCCM - new]] - tblPiNHistorical[[#This Row],[CCCM - old]])/tblPiNHistorical[[#This Row],[CCCM - old]], 1), "")</f>
        <v>0.9</v>
      </c>
      <c r="AE74" s="104">
        <f>IFERROR(ROUND((tblPiNHistorical[[#This Row],[Education - new]]-tblPiNHistorical[[#This Row],[Education - old]])/tblPiNHistorical[[#This Row],[Education - old]], 1), "")</f>
        <v>0.3</v>
      </c>
      <c r="AF74" s="104">
        <f>IFERROR(ROUND((tblPiNHistorical[[#This Row],[Nutrition - new]]-tblPiNHistorical[[#This Row],[Nutrition - old]])/tblPiNHistorical[[#This Row],[Nutrition - old]], 1), "")</f>
        <v>0.8</v>
      </c>
      <c r="AG74" s="104">
        <f>IFERROR(ROUND((tblPiNHistorical[[#This Row],[Food Security - new]]-tblPiNHistorical[[#This Row],[Food Security - old]])/tblPiNHistorical[[#This Row],[Food Security - old]], 1), "")</f>
        <v>0</v>
      </c>
      <c r="AH74" s="104">
        <f>IFERROR(ROUND((tblPiNHistorical[[#This Row],[Health - new]]-tblPiNHistorical[[#This Row],[Health - old]])/tblPiNHistorical[[#This Row],[Health - old]], 1), "")</f>
        <v>-0.5</v>
      </c>
      <c r="AI74" s="104">
        <f>IFERROR(ROUND((tblPiNHistorical[[#This Row],[Overarching Protection - new]]-tblPiNHistorical[[#This Row],[Overarching Protection - old]])/tblPiNHistorical[[#This Row],[Overarching Protection - old]], 1), "")</f>
        <v>1.1000000000000001</v>
      </c>
      <c r="AJ74" s="104">
        <f>IFERROR(ROUND((tblPiNHistorical[[#This Row],[Shelter - new]]-tblPiNHistorical[[#This Row],[Shelter - old]])/tblPiNHistorical[[#This Row],[Shelter - old]], 1), "")</f>
        <v>3.1</v>
      </c>
      <c r="AK74" s="11">
        <f>IFERROR(ROUND((tblPiNHistorical[[#This Row],[WASH - new]]-tblPiNHistorical[[#This Row],[WASH - old]])/tblPiNHistorical[[#This Row],[WASH - old]], 1), "")</f>
        <v>0</v>
      </c>
    </row>
    <row r="75" spans="1:37" ht="17.649999999999999" customHeight="1" x14ac:dyDescent="0.25">
      <c r="A75" s="97" t="s">
        <v>348</v>
      </c>
      <c r="B75" s="65" t="s">
        <v>358</v>
      </c>
      <c r="C75" s="65" t="s">
        <v>304</v>
      </c>
      <c r="D75" s="40" t="s">
        <v>164</v>
      </c>
      <c r="E75" s="37">
        <v>165494</v>
      </c>
      <c r="F75" s="98">
        <v>1458</v>
      </c>
      <c r="G75" s="99">
        <v>17231.843566788932</v>
      </c>
      <c r="H75" s="99">
        <v>8818</v>
      </c>
      <c r="I75" s="99">
        <v>85370</v>
      </c>
      <c r="J75" s="99">
        <v>117823</v>
      </c>
      <c r="K75" s="99">
        <v>41445</v>
      </c>
      <c r="L75" s="100">
        <v>0</v>
      </c>
      <c r="M75" s="113">
        <v>12413.4375</v>
      </c>
      <c r="N75" s="101">
        <v>2733</v>
      </c>
      <c r="O75" s="101">
        <v>18310</v>
      </c>
      <c r="P75" s="99">
        <v>15939</v>
      </c>
      <c r="Q75" s="99">
        <v>83703</v>
      </c>
      <c r="R75" s="99">
        <v>40556</v>
      </c>
      <c r="S75" s="99">
        <v>34994</v>
      </c>
      <c r="T75" s="99">
        <v>0</v>
      </c>
      <c r="U75" s="99">
        <v>26359</v>
      </c>
      <c r="V75" s="102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>1275</v>
      </c>
      <c r="W75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1078.1564332110684</v>
      </c>
      <c r="X75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7121</v>
      </c>
      <c r="Y75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-1667</v>
      </c>
      <c r="Z75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-77267</v>
      </c>
      <c r="AA75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-6451</v>
      </c>
      <c r="AB75" s="103" t="str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/>
      </c>
      <c r="AC75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13945.5625</v>
      </c>
      <c r="AD75" s="115">
        <f>IFERROR(ROUND((tblPiNHistorical[[#This Row],[CCCM - new]] - tblPiNHistorical[[#This Row],[CCCM - old]])/tblPiNHistorical[[#This Row],[CCCM - old]], 1), "")</f>
        <v>0.9</v>
      </c>
      <c r="AE75" s="104">
        <f>IFERROR(ROUND((tblPiNHistorical[[#This Row],[Education - new]]-tblPiNHistorical[[#This Row],[Education - old]])/tblPiNHistorical[[#This Row],[Education - old]], 1), "")</f>
        <v>0.1</v>
      </c>
      <c r="AF75" s="104">
        <f>IFERROR(ROUND((tblPiNHistorical[[#This Row],[Nutrition - new]]-tblPiNHistorical[[#This Row],[Nutrition - old]])/tblPiNHistorical[[#This Row],[Nutrition - old]], 1), "")</f>
        <v>0.8</v>
      </c>
      <c r="AG75" s="104">
        <f>IFERROR(ROUND((tblPiNHistorical[[#This Row],[Food Security - new]]-tblPiNHistorical[[#This Row],[Food Security - old]])/tblPiNHistorical[[#This Row],[Food Security - old]], 1), "")</f>
        <v>0</v>
      </c>
      <c r="AH75" s="104">
        <f>IFERROR(ROUND((tblPiNHistorical[[#This Row],[Health - new]]-tblPiNHistorical[[#This Row],[Health - old]])/tblPiNHistorical[[#This Row],[Health - old]], 1), "")</f>
        <v>-0.7</v>
      </c>
      <c r="AI75" s="104">
        <f>IFERROR(ROUND((tblPiNHistorical[[#This Row],[Overarching Protection - new]]-tblPiNHistorical[[#This Row],[Overarching Protection - old]])/tblPiNHistorical[[#This Row],[Overarching Protection - old]], 1), "")</f>
        <v>-0.2</v>
      </c>
      <c r="AJ75" s="104" t="str">
        <f>IFERROR(ROUND((tblPiNHistorical[[#This Row],[Shelter - new]]-tblPiNHistorical[[#This Row],[Shelter - old]])/tblPiNHistorical[[#This Row],[Shelter - old]], 1), "")</f>
        <v/>
      </c>
      <c r="AK75" s="11">
        <f>IFERROR(ROUND((tblPiNHistorical[[#This Row],[WASH - new]]-tblPiNHistorical[[#This Row],[WASH - old]])/tblPiNHistorical[[#This Row],[WASH - old]], 1), "")</f>
        <v>1.1000000000000001</v>
      </c>
    </row>
    <row r="76" spans="1:37" ht="17.649999999999999" customHeight="1" x14ac:dyDescent="0.25">
      <c r="A76" s="97" t="s">
        <v>348</v>
      </c>
      <c r="B76" s="65" t="s">
        <v>358</v>
      </c>
      <c r="C76" s="65" t="s">
        <v>264</v>
      </c>
      <c r="D76" s="40" t="s">
        <v>124</v>
      </c>
      <c r="E76" s="37">
        <v>23598</v>
      </c>
      <c r="F76" s="98">
        <v>855</v>
      </c>
      <c r="G76" s="99">
        <v>1925.8124091937354</v>
      </c>
      <c r="H76" s="99">
        <v>1200</v>
      </c>
      <c r="I76" s="99">
        <v>11618</v>
      </c>
      <c r="J76" s="99">
        <v>12387</v>
      </c>
      <c r="K76" s="99">
        <v>1861</v>
      </c>
      <c r="L76" s="100">
        <v>0</v>
      </c>
      <c r="M76" s="113">
        <v>2885.61</v>
      </c>
      <c r="N76" s="101">
        <v>1602</v>
      </c>
      <c r="O76" s="101">
        <v>2065</v>
      </c>
      <c r="P76" s="99">
        <v>2152</v>
      </c>
      <c r="Q76" s="99">
        <v>11391</v>
      </c>
      <c r="R76" s="99">
        <v>7256</v>
      </c>
      <c r="S76" s="99">
        <v>4810</v>
      </c>
      <c r="T76" s="99">
        <v>11000</v>
      </c>
      <c r="U76" s="99">
        <v>4933</v>
      </c>
      <c r="V76" s="102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>747</v>
      </c>
      <c r="W76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139.18759080626455</v>
      </c>
      <c r="X76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952</v>
      </c>
      <c r="Y76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-227</v>
      </c>
      <c r="Z76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-5131</v>
      </c>
      <c r="AA76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2949</v>
      </c>
      <c r="AB76" s="103" t="str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/>
      </c>
      <c r="AC76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2047.3899999999999</v>
      </c>
      <c r="AD76" s="115">
        <f>IFERROR(ROUND((tblPiNHistorical[[#This Row],[CCCM - new]] - tblPiNHistorical[[#This Row],[CCCM - old]])/tblPiNHistorical[[#This Row],[CCCM - old]], 1), "")</f>
        <v>0.9</v>
      </c>
      <c r="AE76" s="104">
        <f>IFERROR(ROUND((tblPiNHistorical[[#This Row],[Education - new]]-tblPiNHistorical[[#This Row],[Education - old]])/tblPiNHistorical[[#This Row],[Education - old]], 1), "")</f>
        <v>0.1</v>
      </c>
      <c r="AF76" s="104">
        <f>IFERROR(ROUND((tblPiNHistorical[[#This Row],[Nutrition - new]]-tblPiNHistorical[[#This Row],[Nutrition - old]])/tblPiNHistorical[[#This Row],[Nutrition - old]], 1), "")</f>
        <v>0.8</v>
      </c>
      <c r="AG76" s="104">
        <f>IFERROR(ROUND((tblPiNHistorical[[#This Row],[Food Security - new]]-tblPiNHistorical[[#This Row],[Food Security - old]])/tblPiNHistorical[[#This Row],[Food Security - old]], 1), "")</f>
        <v>0</v>
      </c>
      <c r="AH76" s="104">
        <f>IFERROR(ROUND((tblPiNHistorical[[#This Row],[Health - new]]-tblPiNHistorical[[#This Row],[Health - old]])/tblPiNHistorical[[#This Row],[Health - old]], 1), "")</f>
        <v>-0.4</v>
      </c>
      <c r="AI76" s="104">
        <f>IFERROR(ROUND((tblPiNHistorical[[#This Row],[Overarching Protection - new]]-tblPiNHistorical[[#This Row],[Overarching Protection - old]])/tblPiNHistorical[[#This Row],[Overarching Protection - old]], 1), "")</f>
        <v>1.6</v>
      </c>
      <c r="AJ76" s="104" t="str">
        <f>IFERROR(ROUND((tblPiNHistorical[[#This Row],[Shelter - new]]-tblPiNHistorical[[#This Row],[Shelter - old]])/tblPiNHistorical[[#This Row],[Shelter - old]], 1), "")</f>
        <v/>
      </c>
      <c r="AK76" s="11">
        <f>IFERROR(ROUND((tblPiNHistorical[[#This Row],[WASH - new]]-tblPiNHistorical[[#This Row],[WASH - old]])/tblPiNHistorical[[#This Row],[WASH - old]], 1), "")</f>
        <v>0.7</v>
      </c>
    </row>
    <row r="77" spans="1:37" ht="17.649999999999999" customHeight="1" x14ac:dyDescent="0.25">
      <c r="A77" s="97" t="s">
        <v>348</v>
      </c>
      <c r="B77" s="65" t="s">
        <v>358</v>
      </c>
      <c r="C77" s="65" t="s">
        <v>250</v>
      </c>
      <c r="D77" s="40" t="s">
        <v>110</v>
      </c>
      <c r="E77" s="37">
        <v>37602</v>
      </c>
      <c r="F77" s="98">
        <v>400</v>
      </c>
      <c r="G77" s="99">
        <v>2752.6355050903117</v>
      </c>
      <c r="H77" s="99">
        <v>1768</v>
      </c>
      <c r="I77" s="99">
        <v>18513</v>
      </c>
      <c r="J77" s="99">
        <v>18434</v>
      </c>
      <c r="K77" s="99">
        <v>2840</v>
      </c>
      <c r="L77" s="100">
        <v>4532</v>
      </c>
      <c r="M77" s="113">
        <v>3394.7889999999993</v>
      </c>
      <c r="N77" s="101">
        <v>120</v>
      </c>
      <c r="O77" s="101">
        <v>3903</v>
      </c>
      <c r="P77" s="99">
        <v>3326</v>
      </c>
      <c r="Q77" s="99">
        <v>18152</v>
      </c>
      <c r="R77" s="99">
        <v>8237</v>
      </c>
      <c r="S77" s="99">
        <v>7974</v>
      </c>
      <c r="T77" s="99">
        <v>12000</v>
      </c>
      <c r="U77" s="99">
        <v>3354</v>
      </c>
      <c r="V77" s="102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>-280</v>
      </c>
      <c r="W77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1150.3644949096883</v>
      </c>
      <c r="X77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1558</v>
      </c>
      <c r="Y77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-361</v>
      </c>
      <c r="Z77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-10197</v>
      </c>
      <c r="AA77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5134</v>
      </c>
      <c r="AB77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7468</v>
      </c>
      <c r="AC77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-40.788999999999305</v>
      </c>
      <c r="AD77" s="115">
        <f>IFERROR(ROUND((tblPiNHistorical[[#This Row],[CCCM - new]] - tblPiNHistorical[[#This Row],[CCCM - old]])/tblPiNHistorical[[#This Row],[CCCM - old]], 1), "")</f>
        <v>-0.7</v>
      </c>
      <c r="AE77" s="104">
        <f>IFERROR(ROUND((tblPiNHistorical[[#This Row],[Education - new]]-tblPiNHistorical[[#This Row],[Education - old]])/tblPiNHistorical[[#This Row],[Education - old]], 1), "")</f>
        <v>0.4</v>
      </c>
      <c r="AF77" s="104">
        <f>IFERROR(ROUND((tblPiNHistorical[[#This Row],[Nutrition - new]]-tblPiNHistorical[[#This Row],[Nutrition - old]])/tblPiNHistorical[[#This Row],[Nutrition - old]], 1), "")</f>
        <v>0.9</v>
      </c>
      <c r="AG77" s="104">
        <f>IFERROR(ROUND((tblPiNHistorical[[#This Row],[Food Security - new]]-tblPiNHistorical[[#This Row],[Food Security - old]])/tblPiNHistorical[[#This Row],[Food Security - old]], 1), "")</f>
        <v>0</v>
      </c>
      <c r="AH77" s="104">
        <f>IFERROR(ROUND((tblPiNHistorical[[#This Row],[Health - new]]-tblPiNHistorical[[#This Row],[Health - old]])/tblPiNHistorical[[#This Row],[Health - old]], 1), "")</f>
        <v>-0.6</v>
      </c>
      <c r="AI77" s="104">
        <f>IFERROR(ROUND((tblPiNHistorical[[#This Row],[Overarching Protection - new]]-tblPiNHistorical[[#This Row],[Overarching Protection - old]])/tblPiNHistorical[[#This Row],[Overarching Protection - old]], 1), "")</f>
        <v>1.8</v>
      </c>
      <c r="AJ77" s="104">
        <f>IFERROR(ROUND((tblPiNHistorical[[#This Row],[Shelter - new]]-tblPiNHistorical[[#This Row],[Shelter - old]])/tblPiNHistorical[[#This Row],[Shelter - old]], 1), "")</f>
        <v>1.6</v>
      </c>
      <c r="AK77" s="11">
        <f>IFERROR(ROUND((tblPiNHistorical[[#This Row],[WASH - new]]-tblPiNHistorical[[#This Row],[WASH - old]])/tblPiNHistorical[[#This Row],[WASH - old]], 1), "")</f>
        <v>0</v>
      </c>
    </row>
    <row r="78" spans="1:37" ht="17.649999999999999" customHeight="1" x14ac:dyDescent="0.25">
      <c r="A78" s="97" t="s">
        <v>348</v>
      </c>
      <c r="B78" s="65" t="s">
        <v>358</v>
      </c>
      <c r="C78" s="65" t="s">
        <v>323</v>
      </c>
      <c r="D78" s="40" t="s">
        <v>183</v>
      </c>
      <c r="E78" s="37">
        <v>154615</v>
      </c>
      <c r="F78" s="98">
        <v>1523</v>
      </c>
      <c r="G78" s="99">
        <v>15309.761838930299</v>
      </c>
      <c r="H78" s="99">
        <v>7774</v>
      </c>
      <c r="I78" s="99">
        <v>75256</v>
      </c>
      <c r="J78" s="99">
        <v>81992</v>
      </c>
      <c r="K78" s="99">
        <v>18764</v>
      </c>
      <c r="L78" s="100">
        <v>32084</v>
      </c>
      <c r="M78" s="113">
        <v>91318.56749999999</v>
      </c>
      <c r="N78" s="101">
        <v>2607</v>
      </c>
      <c r="O78" s="101">
        <v>19315</v>
      </c>
      <c r="P78" s="99">
        <v>14702</v>
      </c>
      <c r="Q78" s="99">
        <v>81984</v>
      </c>
      <c r="R78" s="99">
        <v>38075</v>
      </c>
      <c r="S78" s="99">
        <v>21892</v>
      </c>
      <c r="T78" s="99">
        <v>75000</v>
      </c>
      <c r="U78" s="99">
        <v>64196</v>
      </c>
      <c r="V78" s="102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>1084</v>
      </c>
      <c r="W78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4005.2381610697012</v>
      </c>
      <c r="X78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6928</v>
      </c>
      <c r="Y78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6728</v>
      </c>
      <c r="Z78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-43917</v>
      </c>
      <c r="AA78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3128</v>
      </c>
      <c r="AB78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42916</v>
      </c>
      <c r="AC78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-27122.56749999999</v>
      </c>
      <c r="AD78" s="115">
        <f>IFERROR(ROUND((tblPiNHistorical[[#This Row],[CCCM - new]] - tblPiNHistorical[[#This Row],[CCCM - old]])/tblPiNHistorical[[#This Row],[CCCM - old]], 1), "")</f>
        <v>0.7</v>
      </c>
      <c r="AE78" s="104">
        <f>IFERROR(ROUND((tblPiNHistorical[[#This Row],[Education - new]]-tblPiNHistorical[[#This Row],[Education - old]])/tblPiNHistorical[[#This Row],[Education - old]], 1), "")</f>
        <v>0.3</v>
      </c>
      <c r="AF78" s="104">
        <f>IFERROR(ROUND((tblPiNHistorical[[#This Row],[Nutrition - new]]-tblPiNHistorical[[#This Row],[Nutrition - old]])/tblPiNHistorical[[#This Row],[Nutrition - old]], 1), "")</f>
        <v>0.9</v>
      </c>
      <c r="AG78" s="104">
        <f>IFERROR(ROUND((tblPiNHistorical[[#This Row],[Food Security - new]]-tblPiNHistorical[[#This Row],[Food Security - old]])/tblPiNHistorical[[#This Row],[Food Security - old]], 1), "")</f>
        <v>0.1</v>
      </c>
      <c r="AH78" s="104">
        <f>IFERROR(ROUND((tblPiNHistorical[[#This Row],[Health - new]]-tblPiNHistorical[[#This Row],[Health - old]])/tblPiNHistorical[[#This Row],[Health - old]], 1), "")</f>
        <v>-0.5</v>
      </c>
      <c r="AI78" s="104">
        <f>IFERROR(ROUND((tblPiNHistorical[[#This Row],[Overarching Protection - new]]-tblPiNHistorical[[#This Row],[Overarching Protection - old]])/tblPiNHistorical[[#This Row],[Overarching Protection - old]], 1), "")</f>
        <v>0.2</v>
      </c>
      <c r="AJ78" s="104">
        <f>IFERROR(ROUND((tblPiNHistorical[[#This Row],[Shelter - new]]-tblPiNHistorical[[#This Row],[Shelter - old]])/tblPiNHistorical[[#This Row],[Shelter - old]], 1), "")</f>
        <v>1.3</v>
      </c>
      <c r="AK78" s="11">
        <f>IFERROR(ROUND((tblPiNHistorical[[#This Row],[WASH - new]]-tblPiNHistorical[[#This Row],[WASH - old]])/tblPiNHistorical[[#This Row],[WASH - old]], 1), "")</f>
        <v>-0.3</v>
      </c>
    </row>
    <row r="79" spans="1:37" ht="17.649999999999999" customHeight="1" x14ac:dyDescent="0.25">
      <c r="A79" s="97" t="s">
        <v>348</v>
      </c>
      <c r="B79" s="65" t="s">
        <v>358</v>
      </c>
      <c r="C79" s="65" t="s">
        <v>289</v>
      </c>
      <c r="D79" s="40" t="s">
        <v>149</v>
      </c>
      <c r="E79" s="37">
        <v>39659</v>
      </c>
      <c r="F79" s="98">
        <v>1760</v>
      </c>
      <c r="G79" s="99">
        <v>2251.683085813625</v>
      </c>
      <c r="H79" s="99">
        <v>1966</v>
      </c>
      <c r="I79" s="99">
        <v>19029</v>
      </c>
      <c r="J79" s="99">
        <v>13560</v>
      </c>
      <c r="K79" s="99">
        <v>2721</v>
      </c>
      <c r="L79" s="100">
        <v>5191</v>
      </c>
      <c r="M79" s="113">
        <v>18244.959000000003</v>
      </c>
      <c r="N79" s="101">
        <v>1500</v>
      </c>
      <c r="O79" s="101">
        <v>5050</v>
      </c>
      <c r="P79" s="99">
        <v>3358</v>
      </c>
      <c r="Q79" s="99">
        <v>20730</v>
      </c>
      <c r="R79" s="99">
        <v>11685</v>
      </c>
      <c r="S79" s="99">
        <v>2913</v>
      </c>
      <c r="T79" s="99">
        <v>19000</v>
      </c>
      <c r="U79" s="99">
        <v>24485</v>
      </c>
      <c r="V79" s="102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>-260</v>
      </c>
      <c r="W79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2798.316914186375</v>
      </c>
      <c r="X79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1392</v>
      </c>
      <c r="Y79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1701</v>
      </c>
      <c r="Z79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-1875</v>
      </c>
      <c r="AA79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192</v>
      </c>
      <c r="AB79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13809</v>
      </c>
      <c r="AC79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6240.0409999999974</v>
      </c>
      <c r="AD79" s="115">
        <f>IFERROR(ROUND((tblPiNHistorical[[#This Row],[CCCM - new]] - tblPiNHistorical[[#This Row],[CCCM - old]])/tblPiNHistorical[[#This Row],[CCCM - old]], 1), "")</f>
        <v>-0.1</v>
      </c>
      <c r="AE79" s="104">
        <f>IFERROR(ROUND((tblPiNHistorical[[#This Row],[Education - new]]-tblPiNHistorical[[#This Row],[Education - old]])/tblPiNHistorical[[#This Row],[Education - old]], 1), "")</f>
        <v>1.2</v>
      </c>
      <c r="AF79" s="104">
        <f>IFERROR(ROUND((tblPiNHistorical[[#This Row],[Nutrition - new]]-tblPiNHistorical[[#This Row],[Nutrition - old]])/tblPiNHistorical[[#This Row],[Nutrition - old]], 1), "")</f>
        <v>0.7</v>
      </c>
      <c r="AG79" s="104">
        <f>IFERROR(ROUND((tblPiNHistorical[[#This Row],[Food Security - new]]-tblPiNHistorical[[#This Row],[Food Security - old]])/tblPiNHistorical[[#This Row],[Food Security - old]], 1), "")</f>
        <v>0.1</v>
      </c>
      <c r="AH79" s="104">
        <f>IFERROR(ROUND((tblPiNHistorical[[#This Row],[Health - new]]-tblPiNHistorical[[#This Row],[Health - old]])/tblPiNHistorical[[#This Row],[Health - old]], 1), "")</f>
        <v>-0.1</v>
      </c>
      <c r="AI79" s="104">
        <f>IFERROR(ROUND((tblPiNHistorical[[#This Row],[Overarching Protection - new]]-tblPiNHistorical[[#This Row],[Overarching Protection - old]])/tblPiNHistorical[[#This Row],[Overarching Protection - old]], 1), "")</f>
        <v>0.1</v>
      </c>
      <c r="AJ79" s="104">
        <f>IFERROR(ROUND((tblPiNHistorical[[#This Row],[Shelter - new]]-tblPiNHistorical[[#This Row],[Shelter - old]])/tblPiNHistorical[[#This Row],[Shelter - old]], 1), "")</f>
        <v>2.7</v>
      </c>
      <c r="AK79" s="11">
        <f>IFERROR(ROUND((tblPiNHistorical[[#This Row],[WASH - new]]-tblPiNHistorical[[#This Row],[WASH - old]])/tblPiNHistorical[[#This Row],[WASH - old]], 1), "")</f>
        <v>0.3</v>
      </c>
    </row>
    <row r="80" spans="1:37" ht="17.649999999999999" customHeight="1" x14ac:dyDescent="0.25">
      <c r="A80" s="97" t="s">
        <v>350</v>
      </c>
      <c r="B80" s="65" t="s">
        <v>360</v>
      </c>
      <c r="C80" s="65" t="s">
        <v>267</v>
      </c>
      <c r="D80" s="40" t="s">
        <v>127</v>
      </c>
      <c r="E80" s="37">
        <v>163137</v>
      </c>
      <c r="F80" s="98">
        <v>2868</v>
      </c>
      <c r="G80" s="99">
        <v>20403.912929591683</v>
      </c>
      <c r="H80" s="99">
        <v>3430</v>
      </c>
      <c r="I80" s="99">
        <v>41116</v>
      </c>
      <c r="J80" s="99">
        <v>94288</v>
      </c>
      <c r="K80" s="99">
        <v>21143</v>
      </c>
      <c r="L80" s="100">
        <v>115533</v>
      </c>
      <c r="M80" s="113">
        <v>81877.752500000002</v>
      </c>
      <c r="N80" s="101">
        <v>11118</v>
      </c>
      <c r="O80" s="101">
        <v>21199</v>
      </c>
      <c r="P80" s="99">
        <v>13317</v>
      </c>
      <c r="Q80" s="99">
        <v>86213</v>
      </c>
      <c r="R80" s="99">
        <v>59667</v>
      </c>
      <c r="S80" s="99">
        <v>26900</v>
      </c>
      <c r="T80" s="99">
        <v>63880</v>
      </c>
      <c r="U80" s="99">
        <v>50576</v>
      </c>
      <c r="V80" s="102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>8250</v>
      </c>
      <c r="W80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795.08707040831723</v>
      </c>
      <c r="X80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9887</v>
      </c>
      <c r="Y80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45097</v>
      </c>
      <c r="Z80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-34621</v>
      </c>
      <c r="AA80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5757</v>
      </c>
      <c r="AB80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-51653</v>
      </c>
      <c r="AC80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-31301.752500000002</v>
      </c>
      <c r="AD80" s="115">
        <f>IFERROR(ROUND((tblPiNHistorical[[#This Row],[CCCM - new]] - tblPiNHistorical[[#This Row],[CCCM - old]])/tblPiNHistorical[[#This Row],[CCCM - old]], 1), "")</f>
        <v>2.9</v>
      </c>
      <c r="AE80" s="104">
        <f>IFERROR(ROUND((tblPiNHistorical[[#This Row],[Education - new]]-tblPiNHistorical[[#This Row],[Education - old]])/tblPiNHistorical[[#This Row],[Education - old]], 1), "")</f>
        <v>0</v>
      </c>
      <c r="AF80" s="104">
        <f>IFERROR(ROUND((tblPiNHistorical[[#This Row],[Nutrition - new]]-tblPiNHistorical[[#This Row],[Nutrition - old]])/tblPiNHistorical[[#This Row],[Nutrition - old]], 1), "")</f>
        <v>2.9</v>
      </c>
      <c r="AG80" s="104">
        <f>IFERROR(ROUND((tblPiNHistorical[[#This Row],[Food Security - new]]-tblPiNHistorical[[#This Row],[Food Security - old]])/tblPiNHistorical[[#This Row],[Food Security - old]], 1), "")</f>
        <v>1.1000000000000001</v>
      </c>
      <c r="AH80" s="104">
        <f>IFERROR(ROUND((tblPiNHistorical[[#This Row],[Health - new]]-tblPiNHistorical[[#This Row],[Health - old]])/tblPiNHistorical[[#This Row],[Health - old]], 1), "")</f>
        <v>-0.4</v>
      </c>
      <c r="AI80" s="104">
        <f>IFERROR(ROUND((tblPiNHistorical[[#This Row],[Overarching Protection - new]]-tblPiNHistorical[[#This Row],[Overarching Protection - old]])/tblPiNHistorical[[#This Row],[Overarching Protection - old]], 1), "")</f>
        <v>0.3</v>
      </c>
      <c r="AJ80" s="104">
        <f>IFERROR(ROUND((tblPiNHistorical[[#This Row],[Shelter - new]]-tblPiNHistorical[[#This Row],[Shelter - old]])/tblPiNHistorical[[#This Row],[Shelter - old]], 1), "")</f>
        <v>-0.4</v>
      </c>
      <c r="AK80" s="11">
        <f>IFERROR(ROUND((tblPiNHistorical[[#This Row],[WASH - new]]-tblPiNHistorical[[#This Row],[WASH - old]])/tblPiNHistorical[[#This Row],[WASH - old]], 1), "")</f>
        <v>-0.4</v>
      </c>
    </row>
    <row r="81" spans="1:37" ht="17.649999999999999" customHeight="1" x14ac:dyDescent="0.25">
      <c r="A81" s="97" t="s">
        <v>350</v>
      </c>
      <c r="B81" s="65" t="s">
        <v>360</v>
      </c>
      <c r="C81" s="65" t="s">
        <v>286</v>
      </c>
      <c r="D81" s="40" t="s">
        <v>146</v>
      </c>
      <c r="E81" s="37">
        <v>78577</v>
      </c>
      <c r="F81" s="98">
        <v>642</v>
      </c>
      <c r="G81" s="99">
        <v>8009.8714465821076</v>
      </c>
      <c r="H81" s="99">
        <v>1672</v>
      </c>
      <c r="I81" s="99">
        <v>29471</v>
      </c>
      <c r="J81" s="99">
        <v>16045</v>
      </c>
      <c r="K81" s="99">
        <v>8640</v>
      </c>
      <c r="L81" s="100">
        <v>48203</v>
      </c>
      <c r="M81" s="113">
        <v>55580.678050000002</v>
      </c>
      <c r="N81" s="101">
        <v>4001</v>
      </c>
      <c r="O81" s="101">
        <v>10657</v>
      </c>
      <c r="P81" s="99">
        <v>6216</v>
      </c>
      <c r="Q81" s="99">
        <v>32106</v>
      </c>
      <c r="R81" s="99">
        <v>24670</v>
      </c>
      <c r="S81" s="99">
        <v>11931</v>
      </c>
      <c r="T81" s="99">
        <v>18323</v>
      </c>
      <c r="U81" s="99">
        <v>14722</v>
      </c>
      <c r="V81" s="102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>3359</v>
      </c>
      <c r="W81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2647.1285534178924</v>
      </c>
      <c r="X81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4544</v>
      </c>
      <c r="Y81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2635</v>
      </c>
      <c r="Z81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8625</v>
      </c>
      <c r="AA81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3291</v>
      </c>
      <c r="AB81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-29880</v>
      </c>
      <c r="AC81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-40858.678050000002</v>
      </c>
      <c r="AD81" s="115">
        <f>IFERROR(ROUND((tblPiNHistorical[[#This Row],[CCCM - new]] - tblPiNHistorical[[#This Row],[CCCM - old]])/tblPiNHistorical[[#This Row],[CCCM - old]], 1), "")</f>
        <v>5.2</v>
      </c>
      <c r="AE81" s="104">
        <f>IFERROR(ROUND((tblPiNHistorical[[#This Row],[Education - new]]-tblPiNHistorical[[#This Row],[Education - old]])/tblPiNHistorical[[#This Row],[Education - old]], 1), "")</f>
        <v>0.3</v>
      </c>
      <c r="AF81" s="104">
        <f>IFERROR(ROUND((tblPiNHistorical[[#This Row],[Nutrition - new]]-tblPiNHistorical[[#This Row],[Nutrition - old]])/tblPiNHistorical[[#This Row],[Nutrition - old]], 1), "")</f>
        <v>2.7</v>
      </c>
      <c r="AG81" s="104">
        <f>IFERROR(ROUND((tblPiNHistorical[[#This Row],[Food Security - new]]-tblPiNHistorical[[#This Row],[Food Security - old]])/tblPiNHistorical[[#This Row],[Food Security - old]], 1), "")</f>
        <v>0.1</v>
      </c>
      <c r="AH81" s="104">
        <f>IFERROR(ROUND((tblPiNHistorical[[#This Row],[Health - new]]-tblPiNHistorical[[#This Row],[Health - old]])/tblPiNHistorical[[#This Row],[Health - old]], 1), "")</f>
        <v>0.5</v>
      </c>
      <c r="AI81" s="104">
        <f>IFERROR(ROUND((tblPiNHistorical[[#This Row],[Overarching Protection - new]]-tblPiNHistorical[[#This Row],[Overarching Protection - old]])/tblPiNHistorical[[#This Row],[Overarching Protection - old]], 1), "")</f>
        <v>0.4</v>
      </c>
      <c r="AJ81" s="104">
        <f>IFERROR(ROUND((tblPiNHistorical[[#This Row],[Shelter - new]]-tblPiNHistorical[[#This Row],[Shelter - old]])/tblPiNHistorical[[#This Row],[Shelter - old]], 1), "")</f>
        <v>-0.6</v>
      </c>
      <c r="AK81" s="11">
        <f>IFERROR(ROUND((tblPiNHistorical[[#This Row],[WASH - new]]-tblPiNHistorical[[#This Row],[WASH - old]])/tblPiNHistorical[[#This Row],[WASH - old]], 1), "")</f>
        <v>-0.7</v>
      </c>
    </row>
    <row r="82" spans="1:37" ht="17.649999999999999" customHeight="1" x14ac:dyDescent="0.25">
      <c r="A82" s="97" t="s">
        <v>350</v>
      </c>
      <c r="B82" s="65" t="s">
        <v>360</v>
      </c>
      <c r="C82" s="65" t="s">
        <v>336</v>
      </c>
      <c r="D82" s="40" t="s">
        <v>196</v>
      </c>
      <c r="E82" s="37">
        <v>85152</v>
      </c>
      <c r="F82" s="98">
        <v>4275</v>
      </c>
      <c r="G82" s="99">
        <v>7727.6670936014962</v>
      </c>
      <c r="H82" s="99">
        <v>1756</v>
      </c>
      <c r="I82" s="99">
        <v>30940</v>
      </c>
      <c r="J82" s="99">
        <v>39183</v>
      </c>
      <c r="K82" s="99">
        <v>8608</v>
      </c>
      <c r="L82" s="100">
        <v>45659</v>
      </c>
      <c r="M82" s="113">
        <v>45658.80000000001</v>
      </c>
      <c r="N82" s="101">
        <v>8066</v>
      </c>
      <c r="O82" s="101">
        <v>11734</v>
      </c>
      <c r="P82" s="99">
        <v>6663</v>
      </c>
      <c r="Q82" s="99">
        <v>33706</v>
      </c>
      <c r="R82" s="99">
        <v>33128</v>
      </c>
      <c r="S82" s="99">
        <v>11172</v>
      </c>
      <c r="T82" s="99">
        <v>30600</v>
      </c>
      <c r="U82" s="99">
        <v>22395</v>
      </c>
      <c r="V82" s="102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>3791</v>
      </c>
      <c r="W82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4006.3329063985038</v>
      </c>
      <c r="X82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4907</v>
      </c>
      <c r="Y82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2766</v>
      </c>
      <c r="Z82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-6055</v>
      </c>
      <c r="AA82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2564</v>
      </c>
      <c r="AB82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-15059</v>
      </c>
      <c r="AC82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-23263.80000000001</v>
      </c>
      <c r="AD82" s="115">
        <f>IFERROR(ROUND((tblPiNHistorical[[#This Row],[CCCM - new]] - tblPiNHistorical[[#This Row],[CCCM - old]])/tblPiNHistorical[[#This Row],[CCCM - old]], 1), "")</f>
        <v>0.9</v>
      </c>
      <c r="AE82" s="104">
        <f>IFERROR(ROUND((tblPiNHistorical[[#This Row],[Education - new]]-tblPiNHistorical[[#This Row],[Education - old]])/tblPiNHistorical[[#This Row],[Education - old]], 1), "")</f>
        <v>0.5</v>
      </c>
      <c r="AF82" s="104">
        <f>IFERROR(ROUND((tblPiNHistorical[[#This Row],[Nutrition - new]]-tblPiNHistorical[[#This Row],[Nutrition - old]])/tblPiNHistorical[[#This Row],[Nutrition - old]], 1), "")</f>
        <v>2.8</v>
      </c>
      <c r="AG82" s="104">
        <f>IFERROR(ROUND((tblPiNHistorical[[#This Row],[Food Security - new]]-tblPiNHistorical[[#This Row],[Food Security - old]])/tblPiNHistorical[[#This Row],[Food Security - old]], 1), "")</f>
        <v>0.1</v>
      </c>
      <c r="AH82" s="104">
        <f>IFERROR(ROUND((tblPiNHistorical[[#This Row],[Health - new]]-tblPiNHistorical[[#This Row],[Health - old]])/tblPiNHistorical[[#This Row],[Health - old]], 1), "")</f>
        <v>-0.2</v>
      </c>
      <c r="AI82" s="104">
        <f>IFERROR(ROUND((tblPiNHistorical[[#This Row],[Overarching Protection - new]]-tblPiNHistorical[[#This Row],[Overarching Protection - old]])/tblPiNHistorical[[#This Row],[Overarching Protection - old]], 1), "")</f>
        <v>0.3</v>
      </c>
      <c r="AJ82" s="104">
        <f>IFERROR(ROUND((tblPiNHistorical[[#This Row],[Shelter - new]]-tblPiNHistorical[[#This Row],[Shelter - old]])/tblPiNHistorical[[#This Row],[Shelter - old]], 1), "")</f>
        <v>-0.3</v>
      </c>
      <c r="AK82" s="11">
        <f>IFERROR(ROUND((tblPiNHistorical[[#This Row],[WASH - new]]-tblPiNHistorical[[#This Row],[WASH - old]])/tblPiNHistorical[[#This Row],[WASH - old]], 1), "")</f>
        <v>-0.5</v>
      </c>
    </row>
    <row r="83" spans="1:37" ht="17.649999999999999" customHeight="1" x14ac:dyDescent="0.25">
      <c r="A83" s="97" t="s">
        <v>350</v>
      </c>
      <c r="B83" s="65" t="s">
        <v>360</v>
      </c>
      <c r="C83" s="65" t="s">
        <v>236</v>
      </c>
      <c r="D83" s="40" t="s">
        <v>96</v>
      </c>
      <c r="E83" s="37">
        <v>31774</v>
      </c>
      <c r="F83" s="98">
        <v>485</v>
      </c>
      <c r="G83" s="99">
        <v>2234.4816779364414</v>
      </c>
      <c r="H83" s="99">
        <v>610</v>
      </c>
      <c r="I83" s="99">
        <v>11627</v>
      </c>
      <c r="J83" s="99">
        <v>12948</v>
      </c>
      <c r="K83" s="99">
        <v>2534</v>
      </c>
      <c r="L83" s="100">
        <v>13753</v>
      </c>
      <c r="M83" s="113">
        <v>11787.542800000001</v>
      </c>
      <c r="N83" s="101">
        <v>2700</v>
      </c>
      <c r="O83" s="101">
        <v>4412</v>
      </c>
      <c r="P83" s="99">
        <v>2420</v>
      </c>
      <c r="Q83" s="99">
        <v>12667</v>
      </c>
      <c r="R83" s="99">
        <v>11486</v>
      </c>
      <c r="S83" s="99">
        <v>3542</v>
      </c>
      <c r="T83" s="99">
        <v>17000</v>
      </c>
      <c r="U83" s="99">
        <v>8199</v>
      </c>
      <c r="V83" s="102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>2215</v>
      </c>
      <c r="W83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2177.5183220635586</v>
      </c>
      <c r="X83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1810</v>
      </c>
      <c r="Y83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1040</v>
      </c>
      <c r="Z83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-1462</v>
      </c>
      <c r="AA83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1008</v>
      </c>
      <c r="AB83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3247</v>
      </c>
      <c r="AC83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-3588.5428000000011</v>
      </c>
      <c r="AD83" s="115">
        <f>IFERROR(ROUND((tblPiNHistorical[[#This Row],[CCCM - new]] - tblPiNHistorical[[#This Row],[CCCM - old]])/tblPiNHistorical[[#This Row],[CCCM - old]], 1), "")</f>
        <v>4.5999999999999996</v>
      </c>
      <c r="AE83" s="104">
        <f>IFERROR(ROUND((tblPiNHistorical[[#This Row],[Education - new]]-tblPiNHistorical[[#This Row],[Education - old]])/tblPiNHistorical[[#This Row],[Education - old]], 1), "")</f>
        <v>1</v>
      </c>
      <c r="AF83" s="104">
        <f>IFERROR(ROUND((tblPiNHistorical[[#This Row],[Nutrition - new]]-tblPiNHistorical[[#This Row],[Nutrition - old]])/tblPiNHistorical[[#This Row],[Nutrition - old]], 1), "")</f>
        <v>3</v>
      </c>
      <c r="AG83" s="104">
        <f>IFERROR(ROUND((tblPiNHistorical[[#This Row],[Food Security - new]]-tblPiNHistorical[[#This Row],[Food Security - old]])/tblPiNHistorical[[#This Row],[Food Security - old]], 1), "")</f>
        <v>0.1</v>
      </c>
      <c r="AH83" s="104">
        <f>IFERROR(ROUND((tblPiNHistorical[[#This Row],[Health - new]]-tblPiNHistorical[[#This Row],[Health - old]])/tblPiNHistorical[[#This Row],[Health - old]], 1), "")</f>
        <v>-0.1</v>
      </c>
      <c r="AI83" s="104">
        <f>IFERROR(ROUND((tblPiNHistorical[[#This Row],[Overarching Protection - new]]-tblPiNHistorical[[#This Row],[Overarching Protection - old]])/tblPiNHistorical[[#This Row],[Overarching Protection - old]], 1), "")</f>
        <v>0.4</v>
      </c>
      <c r="AJ83" s="104">
        <f>IFERROR(ROUND((tblPiNHistorical[[#This Row],[Shelter - new]]-tblPiNHistorical[[#This Row],[Shelter - old]])/tblPiNHistorical[[#This Row],[Shelter - old]], 1), "")</f>
        <v>0.2</v>
      </c>
      <c r="AK83" s="11">
        <f>IFERROR(ROUND((tblPiNHistorical[[#This Row],[WASH - new]]-tblPiNHistorical[[#This Row],[WASH - old]])/tblPiNHistorical[[#This Row],[WASH - old]], 1), "")</f>
        <v>-0.3</v>
      </c>
    </row>
    <row r="84" spans="1:37" ht="17.649999999999999" customHeight="1" x14ac:dyDescent="0.25">
      <c r="A84" s="97" t="s">
        <v>350</v>
      </c>
      <c r="B84" s="65" t="s">
        <v>360</v>
      </c>
      <c r="C84" s="65" t="s">
        <v>292</v>
      </c>
      <c r="D84" s="40" t="s">
        <v>152</v>
      </c>
      <c r="E84" s="37">
        <v>129573</v>
      </c>
      <c r="F84" s="98">
        <v>4113</v>
      </c>
      <c r="G84" s="99">
        <v>16383.084805709959</v>
      </c>
      <c r="H84" s="99">
        <v>2774</v>
      </c>
      <c r="I84" s="99">
        <v>34215</v>
      </c>
      <c r="J84" s="99">
        <v>77632</v>
      </c>
      <c r="K84" s="99">
        <v>16009</v>
      </c>
      <c r="L84" s="100">
        <v>94110</v>
      </c>
      <c r="M84" s="113">
        <v>81875.990000000005</v>
      </c>
      <c r="N84" s="101">
        <v>5550</v>
      </c>
      <c r="O84" s="101">
        <v>15617</v>
      </c>
      <c r="P84" s="99">
        <v>10384</v>
      </c>
      <c r="Q84" s="99">
        <v>53248</v>
      </c>
      <c r="R84" s="99">
        <v>42246</v>
      </c>
      <c r="S84" s="99">
        <v>27497</v>
      </c>
      <c r="T84" s="99">
        <v>53214</v>
      </c>
      <c r="U84" s="99">
        <v>88699</v>
      </c>
      <c r="V84" s="102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>1437</v>
      </c>
      <c r="W84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-766.08480570995926</v>
      </c>
      <c r="X84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7610</v>
      </c>
      <c r="Y84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19033</v>
      </c>
      <c r="Z84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-35386</v>
      </c>
      <c r="AA84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11488</v>
      </c>
      <c r="AB84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-40896</v>
      </c>
      <c r="AC84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6823.0099999999948</v>
      </c>
      <c r="AD84" s="115">
        <f>IFERROR(ROUND((tblPiNHistorical[[#This Row],[CCCM - new]] - tblPiNHistorical[[#This Row],[CCCM - old]])/tblPiNHistorical[[#This Row],[CCCM - old]], 1), "")</f>
        <v>0.3</v>
      </c>
      <c r="AE84" s="104">
        <f>IFERROR(ROUND((tblPiNHistorical[[#This Row],[Education - new]]-tblPiNHistorical[[#This Row],[Education - old]])/tblPiNHistorical[[#This Row],[Education - old]], 1), "")</f>
        <v>0</v>
      </c>
      <c r="AF84" s="104">
        <f>IFERROR(ROUND((tblPiNHistorical[[#This Row],[Nutrition - new]]-tblPiNHistorical[[#This Row],[Nutrition - old]])/tblPiNHistorical[[#This Row],[Nutrition - old]], 1), "")</f>
        <v>2.7</v>
      </c>
      <c r="AG84" s="104">
        <f>IFERROR(ROUND((tblPiNHistorical[[#This Row],[Food Security - new]]-tblPiNHistorical[[#This Row],[Food Security - old]])/tblPiNHistorical[[#This Row],[Food Security - old]], 1), "")</f>
        <v>0.6</v>
      </c>
      <c r="AH84" s="104">
        <f>IFERROR(ROUND((tblPiNHistorical[[#This Row],[Health - new]]-tblPiNHistorical[[#This Row],[Health - old]])/tblPiNHistorical[[#This Row],[Health - old]], 1), "")</f>
        <v>-0.5</v>
      </c>
      <c r="AI84" s="104">
        <f>IFERROR(ROUND((tblPiNHistorical[[#This Row],[Overarching Protection - new]]-tblPiNHistorical[[#This Row],[Overarching Protection - old]])/tblPiNHistorical[[#This Row],[Overarching Protection - old]], 1), "")</f>
        <v>0.7</v>
      </c>
      <c r="AJ84" s="104">
        <f>IFERROR(ROUND((tblPiNHistorical[[#This Row],[Shelter - new]]-tblPiNHistorical[[#This Row],[Shelter - old]])/tblPiNHistorical[[#This Row],[Shelter - old]], 1), "")</f>
        <v>-0.4</v>
      </c>
      <c r="AK84" s="11">
        <f>IFERROR(ROUND((tblPiNHistorical[[#This Row],[WASH - new]]-tblPiNHistorical[[#This Row],[WASH - old]])/tblPiNHistorical[[#This Row],[WASH - old]], 1), "")</f>
        <v>0.1</v>
      </c>
    </row>
    <row r="85" spans="1:37" ht="17.649999999999999" customHeight="1" x14ac:dyDescent="0.25">
      <c r="A85" s="97" t="s">
        <v>350</v>
      </c>
      <c r="B85" s="65" t="s">
        <v>360</v>
      </c>
      <c r="C85" s="65" t="s">
        <v>328</v>
      </c>
      <c r="D85" s="40" t="s">
        <v>188</v>
      </c>
      <c r="E85" s="37">
        <v>52389</v>
      </c>
      <c r="F85" s="98">
        <v>2100</v>
      </c>
      <c r="G85" s="99">
        <v>6048.8609174678268</v>
      </c>
      <c r="H85" s="99">
        <v>1109</v>
      </c>
      <c r="I85" s="99">
        <v>13674</v>
      </c>
      <c r="J85" s="99">
        <v>33631</v>
      </c>
      <c r="K85" s="99">
        <v>6283</v>
      </c>
      <c r="L85" s="100">
        <v>25528</v>
      </c>
      <c r="M85" s="113">
        <v>25532.965899999999</v>
      </c>
      <c r="N85" s="101">
        <v>3096</v>
      </c>
      <c r="O85" s="101">
        <v>6784</v>
      </c>
      <c r="P85" s="99">
        <v>4206</v>
      </c>
      <c r="Q85" s="99">
        <v>21281</v>
      </c>
      <c r="R85" s="99">
        <v>21047</v>
      </c>
      <c r="S85" s="99">
        <v>6960</v>
      </c>
      <c r="T85" s="99">
        <v>25163</v>
      </c>
      <c r="U85" s="99">
        <v>18664</v>
      </c>
      <c r="V85" s="102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>996</v>
      </c>
      <c r="W85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735.13908253217323</v>
      </c>
      <c r="X85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3097</v>
      </c>
      <c r="Y85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7607</v>
      </c>
      <c r="Z85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-12584</v>
      </c>
      <c r="AA85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677</v>
      </c>
      <c r="AB85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-365</v>
      </c>
      <c r="AC85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-6868.9658999999992</v>
      </c>
      <c r="AD85" s="115">
        <f>IFERROR(ROUND((tblPiNHistorical[[#This Row],[CCCM - new]] - tblPiNHistorical[[#This Row],[CCCM - old]])/tblPiNHistorical[[#This Row],[CCCM - old]], 1), "")</f>
        <v>0.5</v>
      </c>
      <c r="AE85" s="104">
        <f>IFERROR(ROUND((tblPiNHistorical[[#This Row],[Education - new]]-tblPiNHistorical[[#This Row],[Education - old]])/tblPiNHistorical[[#This Row],[Education - old]], 1), "")</f>
        <v>0.1</v>
      </c>
      <c r="AF85" s="104">
        <f>IFERROR(ROUND((tblPiNHistorical[[#This Row],[Nutrition - new]]-tblPiNHistorical[[#This Row],[Nutrition - old]])/tblPiNHistorical[[#This Row],[Nutrition - old]], 1), "")</f>
        <v>2.8</v>
      </c>
      <c r="AG85" s="104">
        <f>IFERROR(ROUND((tblPiNHistorical[[#This Row],[Food Security - new]]-tblPiNHistorical[[#This Row],[Food Security - old]])/tblPiNHistorical[[#This Row],[Food Security - old]], 1), "")</f>
        <v>0.6</v>
      </c>
      <c r="AH85" s="104">
        <f>IFERROR(ROUND((tblPiNHistorical[[#This Row],[Health - new]]-tblPiNHistorical[[#This Row],[Health - old]])/tblPiNHistorical[[#This Row],[Health - old]], 1), "")</f>
        <v>-0.4</v>
      </c>
      <c r="AI85" s="104">
        <f>IFERROR(ROUND((tblPiNHistorical[[#This Row],[Overarching Protection - new]]-tblPiNHistorical[[#This Row],[Overarching Protection - old]])/tblPiNHistorical[[#This Row],[Overarching Protection - old]], 1), "")</f>
        <v>0.1</v>
      </c>
      <c r="AJ85" s="104">
        <f>IFERROR(ROUND((tblPiNHistorical[[#This Row],[Shelter - new]]-tblPiNHistorical[[#This Row],[Shelter - old]])/tblPiNHistorical[[#This Row],[Shelter - old]], 1), "")</f>
        <v>0</v>
      </c>
      <c r="AK85" s="11">
        <f>IFERROR(ROUND((tblPiNHistorical[[#This Row],[WASH - new]]-tblPiNHistorical[[#This Row],[WASH - old]])/tblPiNHistorical[[#This Row],[WASH - old]], 1), "")</f>
        <v>-0.3</v>
      </c>
    </row>
    <row r="86" spans="1:37" ht="17.649999999999999" customHeight="1" x14ac:dyDescent="0.25">
      <c r="A86" s="97" t="s">
        <v>350</v>
      </c>
      <c r="B86" s="65" t="s">
        <v>360</v>
      </c>
      <c r="C86" s="65" t="s">
        <v>226</v>
      </c>
      <c r="D86" s="40" t="s">
        <v>86</v>
      </c>
      <c r="E86" s="37">
        <v>79705</v>
      </c>
      <c r="F86" s="98">
        <v>6970</v>
      </c>
      <c r="G86" s="99">
        <v>6252.8726285646426</v>
      </c>
      <c r="H86" s="99">
        <v>1590</v>
      </c>
      <c r="I86" s="99">
        <v>19609</v>
      </c>
      <c r="J86" s="99">
        <v>26839</v>
      </c>
      <c r="K86" s="99">
        <v>6860</v>
      </c>
      <c r="L86" s="100">
        <v>35919</v>
      </c>
      <c r="M86" s="113">
        <v>43622.808750000004</v>
      </c>
      <c r="N86" s="101">
        <v>11100</v>
      </c>
      <c r="O86" s="101">
        <v>10456</v>
      </c>
      <c r="P86" s="99">
        <v>6246</v>
      </c>
      <c r="Q86" s="99">
        <v>30517</v>
      </c>
      <c r="R86" s="99">
        <v>34419</v>
      </c>
      <c r="S86" s="99">
        <v>7408</v>
      </c>
      <c r="T86" s="99">
        <v>28451</v>
      </c>
      <c r="U86" s="99">
        <v>30364</v>
      </c>
      <c r="V86" s="102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>4130</v>
      </c>
      <c r="W86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4203.1273714353574</v>
      </c>
      <c r="X86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4656</v>
      </c>
      <c r="Y86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10908</v>
      </c>
      <c r="Z86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7580</v>
      </c>
      <c r="AA86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548</v>
      </c>
      <c r="AB86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-7468</v>
      </c>
      <c r="AC86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-13258.808750000004</v>
      </c>
      <c r="AD86" s="115">
        <f>IFERROR(ROUND((tblPiNHistorical[[#This Row],[CCCM - new]] - tblPiNHistorical[[#This Row],[CCCM - old]])/tblPiNHistorical[[#This Row],[CCCM - old]], 1), "")</f>
        <v>0.6</v>
      </c>
      <c r="AE86" s="104">
        <f>IFERROR(ROUND((tblPiNHistorical[[#This Row],[Education - new]]-tblPiNHistorical[[#This Row],[Education - old]])/tblPiNHistorical[[#This Row],[Education - old]], 1), "")</f>
        <v>0.7</v>
      </c>
      <c r="AF86" s="104">
        <f>IFERROR(ROUND((tblPiNHistorical[[#This Row],[Nutrition - new]]-tblPiNHistorical[[#This Row],[Nutrition - old]])/tblPiNHistorical[[#This Row],[Nutrition - old]], 1), "")</f>
        <v>2.9</v>
      </c>
      <c r="AG86" s="104">
        <f>IFERROR(ROUND((tblPiNHistorical[[#This Row],[Food Security - new]]-tblPiNHistorical[[#This Row],[Food Security - old]])/tblPiNHistorical[[#This Row],[Food Security - old]], 1), "")</f>
        <v>0.6</v>
      </c>
      <c r="AH86" s="104">
        <f>IFERROR(ROUND((tblPiNHistorical[[#This Row],[Health - new]]-tblPiNHistorical[[#This Row],[Health - old]])/tblPiNHistorical[[#This Row],[Health - old]], 1), "")</f>
        <v>0.3</v>
      </c>
      <c r="AI86" s="104">
        <f>IFERROR(ROUND((tblPiNHistorical[[#This Row],[Overarching Protection - new]]-tblPiNHistorical[[#This Row],[Overarching Protection - old]])/tblPiNHistorical[[#This Row],[Overarching Protection - old]], 1), "")</f>
        <v>0.1</v>
      </c>
      <c r="AJ86" s="104">
        <f>IFERROR(ROUND((tblPiNHistorical[[#This Row],[Shelter - new]]-tblPiNHistorical[[#This Row],[Shelter - old]])/tblPiNHistorical[[#This Row],[Shelter - old]], 1), "")</f>
        <v>-0.2</v>
      </c>
      <c r="AK86" s="11">
        <f>IFERROR(ROUND((tblPiNHistorical[[#This Row],[WASH - new]]-tblPiNHistorical[[#This Row],[WASH - old]])/tblPiNHistorical[[#This Row],[WASH - old]], 1), "")</f>
        <v>-0.3</v>
      </c>
    </row>
    <row r="87" spans="1:37" ht="17.649999999999999" customHeight="1" x14ac:dyDescent="0.25">
      <c r="A87" s="97" t="s">
        <v>350</v>
      </c>
      <c r="B87" s="65" t="s">
        <v>360</v>
      </c>
      <c r="C87" s="65" t="s">
        <v>279</v>
      </c>
      <c r="D87" s="40" t="s">
        <v>139</v>
      </c>
      <c r="E87" s="37">
        <v>65198</v>
      </c>
      <c r="F87" s="98">
        <v>6040</v>
      </c>
      <c r="G87" s="99">
        <v>5567.7222976685698</v>
      </c>
      <c r="H87" s="99">
        <v>1302</v>
      </c>
      <c r="I87" s="99">
        <v>16056</v>
      </c>
      <c r="J87" s="99">
        <v>21104</v>
      </c>
      <c r="K87" s="99">
        <v>6065</v>
      </c>
      <c r="L87" s="100">
        <v>19071</v>
      </c>
      <c r="M87" s="113">
        <v>12418.542000000001</v>
      </c>
      <c r="N87" s="101">
        <v>9000</v>
      </c>
      <c r="O87" s="101">
        <v>8523</v>
      </c>
      <c r="P87" s="99">
        <v>5071</v>
      </c>
      <c r="Q87" s="99">
        <v>24987</v>
      </c>
      <c r="R87" s="99">
        <v>31074</v>
      </c>
      <c r="S87" s="99">
        <v>6713</v>
      </c>
      <c r="T87" s="99">
        <v>17108</v>
      </c>
      <c r="U87" s="99">
        <v>43840</v>
      </c>
      <c r="V87" s="102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>2960</v>
      </c>
      <c r="W87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2955.2777023314302</v>
      </c>
      <c r="X87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3769</v>
      </c>
      <c r="Y87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8931</v>
      </c>
      <c r="Z87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9970</v>
      </c>
      <c r="AA87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648</v>
      </c>
      <c r="AB87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-1963</v>
      </c>
      <c r="AC87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31421.457999999999</v>
      </c>
      <c r="AD87" s="115">
        <f>IFERROR(ROUND((tblPiNHistorical[[#This Row],[CCCM - new]] - tblPiNHistorical[[#This Row],[CCCM - old]])/tblPiNHistorical[[#This Row],[CCCM - old]], 1), "")</f>
        <v>0.5</v>
      </c>
      <c r="AE87" s="104">
        <f>IFERROR(ROUND((tblPiNHistorical[[#This Row],[Education - new]]-tblPiNHistorical[[#This Row],[Education - old]])/tblPiNHistorical[[#This Row],[Education - old]], 1), "")</f>
        <v>0.5</v>
      </c>
      <c r="AF87" s="104">
        <f>IFERROR(ROUND((tblPiNHistorical[[#This Row],[Nutrition - new]]-tblPiNHistorical[[#This Row],[Nutrition - old]])/tblPiNHistorical[[#This Row],[Nutrition - old]], 1), "")</f>
        <v>2.9</v>
      </c>
      <c r="AG87" s="104">
        <f>IFERROR(ROUND((tblPiNHistorical[[#This Row],[Food Security - new]]-tblPiNHistorical[[#This Row],[Food Security - old]])/tblPiNHistorical[[#This Row],[Food Security - old]], 1), "")</f>
        <v>0.6</v>
      </c>
      <c r="AH87" s="104">
        <f>IFERROR(ROUND((tblPiNHistorical[[#This Row],[Health - new]]-tblPiNHistorical[[#This Row],[Health - old]])/tblPiNHistorical[[#This Row],[Health - old]], 1), "")</f>
        <v>0.5</v>
      </c>
      <c r="AI87" s="104">
        <f>IFERROR(ROUND((tblPiNHistorical[[#This Row],[Overarching Protection - new]]-tblPiNHistorical[[#This Row],[Overarching Protection - old]])/tblPiNHistorical[[#This Row],[Overarching Protection - old]], 1), "")</f>
        <v>0.1</v>
      </c>
      <c r="AJ87" s="104">
        <f>IFERROR(ROUND((tblPiNHistorical[[#This Row],[Shelter - new]]-tblPiNHistorical[[#This Row],[Shelter - old]])/tblPiNHistorical[[#This Row],[Shelter - old]], 1), "")</f>
        <v>-0.1</v>
      </c>
      <c r="AK87" s="11">
        <f>IFERROR(ROUND((tblPiNHistorical[[#This Row],[WASH - new]]-tblPiNHistorical[[#This Row],[WASH - old]])/tblPiNHistorical[[#This Row],[WASH - old]], 1), "")</f>
        <v>2.5</v>
      </c>
    </row>
    <row r="88" spans="1:37" ht="17.649999999999999" customHeight="1" x14ac:dyDescent="0.25">
      <c r="A88" s="97" t="s">
        <v>350</v>
      </c>
      <c r="B88" s="65" t="s">
        <v>360</v>
      </c>
      <c r="C88" s="65" t="s">
        <v>221</v>
      </c>
      <c r="D88" s="40" t="s">
        <v>81</v>
      </c>
      <c r="E88" s="37">
        <v>123067</v>
      </c>
      <c r="F88" s="98">
        <v>312</v>
      </c>
      <c r="G88" s="99">
        <v>11526.712451412814</v>
      </c>
      <c r="H88" s="99">
        <v>2458</v>
      </c>
      <c r="I88" s="99">
        <v>30315</v>
      </c>
      <c r="J88" s="99">
        <v>70983</v>
      </c>
      <c r="K88" s="99">
        <v>12354</v>
      </c>
      <c r="L88" s="100">
        <v>35472</v>
      </c>
      <c r="M88" s="113">
        <v>67384.617849999995</v>
      </c>
      <c r="N88" s="101">
        <v>16950</v>
      </c>
      <c r="O88" s="101">
        <v>15654</v>
      </c>
      <c r="P88" s="99">
        <v>9633</v>
      </c>
      <c r="Q88" s="99">
        <v>47178</v>
      </c>
      <c r="R88" s="99">
        <v>56397</v>
      </c>
      <c r="S88" s="99">
        <v>18145</v>
      </c>
      <c r="T88" s="99">
        <v>38451</v>
      </c>
      <c r="U88" s="99">
        <v>45304</v>
      </c>
      <c r="V88" s="102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>16638</v>
      </c>
      <c r="W88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4127.2875485871864</v>
      </c>
      <c r="X88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7175</v>
      </c>
      <c r="Y88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16863</v>
      </c>
      <c r="Z88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-14586</v>
      </c>
      <c r="AA88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5791</v>
      </c>
      <c r="AB88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2979</v>
      </c>
      <c r="AC88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-22080.617849999995</v>
      </c>
      <c r="AD88" s="115">
        <f>IFERROR(ROUND((tblPiNHistorical[[#This Row],[CCCM - new]] - tblPiNHistorical[[#This Row],[CCCM - old]])/tblPiNHistorical[[#This Row],[CCCM - old]], 1), "")</f>
        <v>53.3</v>
      </c>
      <c r="AE88" s="104">
        <f>IFERROR(ROUND((tblPiNHistorical[[#This Row],[Education - new]]-tblPiNHistorical[[#This Row],[Education - old]])/tblPiNHistorical[[#This Row],[Education - old]], 1), "")</f>
        <v>0.4</v>
      </c>
      <c r="AF88" s="104">
        <f>IFERROR(ROUND((tblPiNHistorical[[#This Row],[Nutrition - new]]-tblPiNHistorical[[#This Row],[Nutrition - old]])/tblPiNHistorical[[#This Row],[Nutrition - old]], 1), "")</f>
        <v>2.9</v>
      </c>
      <c r="AG88" s="104">
        <f>IFERROR(ROUND((tblPiNHistorical[[#This Row],[Food Security - new]]-tblPiNHistorical[[#This Row],[Food Security - old]])/tblPiNHistorical[[#This Row],[Food Security - old]], 1), "")</f>
        <v>0.6</v>
      </c>
      <c r="AH88" s="104">
        <f>IFERROR(ROUND((tblPiNHistorical[[#This Row],[Health - new]]-tblPiNHistorical[[#This Row],[Health - old]])/tblPiNHistorical[[#This Row],[Health - old]], 1), "")</f>
        <v>-0.2</v>
      </c>
      <c r="AI88" s="104">
        <f>IFERROR(ROUND((tblPiNHistorical[[#This Row],[Overarching Protection - new]]-tblPiNHistorical[[#This Row],[Overarching Protection - old]])/tblPiNHistorical[[#This Row],[Overarching Protection - old]], 1), "")</f>
        <v>0.5</v>
      </c>
      <c r="AJ88" s="104">
        <f>IFERROR(ROUND((tblPiNHistorical[[#This Row],[Shelter - new]]-tblPiNHistorical[[#This Row],[Shelter - old]])/tblPiNHistorical[[#This Row],[Shelter - old]], 1), "")</f>
        <v>0.1</v>
      </c>
      <c r="AK88" s="11">
        <f>IFERROR(ROUND((tblPiNHistorical[[#This Row],[WASH - new]]-tblPiNHistorical[[#This Row],[WASH - old]])/tblPiNHistorical[[#This Row],[WASH - old]], 1), "")</f>
        <v>-0.3</v>
      </c>
    </row>
    <row r="89" spans="1:37" ht="17.649999999999999" customHeight="1" x14ac:dyDescent="0.25">
      <c r="A89" s="97" t="s">
        <v>350</v>
      </c>
      <c r="B89" s="65" t="s">
        <v>360</v>
      </c>
      <c r="C89" s="65" t="s">
        <v>329</v>
      </c>
      <c r="D89" s="40" t="s">
        <v>189</v>
      </c>
      <c r="E89" s="37">
        <v>46902</v>
      </c>
      <c r="F89" s="98">
        <v>102</v>
      </c>
      <c r="G89" s="99">
        <v>2975.9916403201851</v>
      </c>
      <c r="H89" s="99">
        <v>1027</v>
      </c>
      <c r="I89" s="99">
        <v>12670</v>
      </c>
      <c r="J89" s="99">
        <v>9092</v>
      </c>
      <c r="K89" s="99">
        <v>2942</v>
      </c>
      <c r="L89" s="100">
        <v>15874</v>
      </c>
      <c r="M89" s="113">
        <v>20635.819899999999</v>
      </c>
      <c r="N89" s="101">
        <v>482</v>
      </c>
      <c r="O89" s="101">
        <v>5438</v>
      </c>
      <c r="P89" s="99">
        <v>3815</v>
      </c>
      <c r="Q89" s="99">
        <v>19718</v>
      </c>
      <c r="R89" s="99">
        <v>14653</v>
      </c>
      <c r="S89" s="99">
        <v>3779</v>
      </c>
      <c r="T89" s="99">
        <v>23291</v>
      </c>
      <c r="U89" s="99">
        <v>5989</v>
      </c>
      <c r="V89" s="102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>380</v>
      </c>
      <c r="W89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2462.0083596798149</v>
      </c>
      <c r="X89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2788</v>
      </c>
      <c r="Y89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7048</v>
      </c>
      <c r="Z89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5561</v>
      </c>
      <c r="AA89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837</v>
      </c>
      <c r="AB89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7417</v>
      </c>
      <c r="AC89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-14646.819899999999</v>
      </c>
      <c r="AD89" s="115">
        <f>IFERROR(ROUND((tblPiNHistorical[[#This Row],[CCCM - new]] - tblPiNHistorical[[#This Row],[CCCM - old]])/tblPiNHistorical[[#This Row],[CCCM - old]], 1), "")</f>
        <v>3.7</v>
      </c>
      <c r="AE89" s="104">
        <f>IFERROR(ROUND((tblPiNHistorical[[#This Row],[Education - new]]-tblPiNHistorical[[#This Row],[Education - old]])/tblPiNHistorical[[#This Row],[Education - old]], 1), "")</f>
        <v>0.8</v>
      </c>
      <c r="AF89" s="104">
        <f>IFERROR(ROUND((tblPiNHistorical[[#This Row],[Nutrition - new]]-tblPiNHistorical[[#This Row],[Nutrition - old]])/tblPiNHistorical[[#This Row],[Nutrition - old]], 1), "")</f>
        <v>2.7</v>
      </c>
      <c r="AG89" s="104">
        <f>IFERROR(ROUND((tblPiNHistorical[[#This Row],[Food Security - new]]-tblPiNHistorical[[#This Row],[Food Security - old]])/tblPiNHistorical[[#This Row],[Food Security - old]], 1), "")</f>
        <v>0.6</v>
      </c>
      <c r="AH89" s="104">
        <f>IFERROR(ROUND((tblPiNHistorical[[#This Row],[Health - new]]-tblPiNHistorical[[#This Row],[Health - old]])/tblPiNHistorical[[#This Row],[Health - old]], 1), "")</f>
        <v>0.6</v>
      </c>
      <c r="AI89" s="104">
        <f>IFERROR(ROUND((tblPiNHistorical[[#This Row],[Overarching Protection - new]]-tblPiNHistorical[[#This Row],[Overarching Protection - old]])/tblPiNHistorical[[#This Row],[Overarching Protection - old]], 1), "")</f>
        <v>0.3</v>
      </c>
      <c r="AJ89" s="104">
        <f>IFERROR(ROUND((tblPiNHistorical[[#This Row],[Shelter - new]]-tblPiNHistorical[[#This Row],[Shelter - old]])/tblPiNHistorical[[#This Row],[Shelter - old]], 1), "")</f>
        <v>0.5</v>
      </c>
      <c r="AK89" s="11">
        <f>IFERROR(ROUND((tblPiNHistorical[[#This Row],[WASH - new]]-tblPiNHistorical[[#This Row],[WASH - old]])/tblPiNHistorical[[#This Row],[WASH - old]], 1), "")</f>
        <v>-0.7</v>
      </c>
    </row>
    <row r="90" spans="1:37" ht="17.649999999999999" customHeight="1" x14ac:dyDescent="0.25">
      <c r="A90" s="97" t="s">
        <v>350</v>
      </c>
      <c r="B90" s="65" t="s">
        <v>360</v>
      </c>
      <c r="C90" s="65" t="s">
        <v>237</v>
      </c>
      <c r="D90" s="40" t="s">
        <v>97</v>
      </c>
      <c r="E90" s="37">
        <v>73041</v>
      </c>
      <c r="F90" s="98">
        <v>325</v>
      </c>
      <c r="G90" s="99">
        <v>7074.6062105434494</v>
      </c>
      <c r="H90" s="99">
        <v>1604</v>
      </c>
      <c r="I90" s="99">
        <v>28266</v>
      </c>
      <c r="J90" s="99">
        <v>42217</v>
      </c>
      <c r="K90" s="99">
        <v>8185</v>
      </c>
      <c r="L90" s="100">
        <v>45284</v>
      </c>
      <c r="M90" s="113">
        <v>33091.824999999997</v>
      </c>
      <c r="N90" s="101">
        <v>456</v>
      </c>
      <c r="O90" s="101">
        <v>10058</v>
      </c>
      <c r="P90" s="99">
        <v>5685</v>
      </c>
      <c r="Q90" s="99">
        <v>30793</v>
      </c>
      <c r="R90" s="99">
        <v>18034</v>
      </c>
      <c r="S90" s="99">
        <v>9755</v>
      </c>
      <c r="T90" s="99">
        <v>25000</v>
      </c>
      <c r="U90" s="99">
        <v>5479</v>
      </c>
      <c r="V90" s="102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>131</v>
      </c>
      <c r="W90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2983.3937894565506</v>
      </c>
      <c r="X90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4081</v>
      </c>
      <c r="Y90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2527</v>
      </c>
      <c r="Z90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-24183</v>
      </c>
      <c r="AA90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1570</v>
      </c>
      <c r="AB90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-20284</v>
      </c>
      <c r="AC90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-27612.824999999997</v>
      </c>
      <c r="AD90" s="115">
        <f>IFERROR(ROUND((tblPiNHistorical[[#This Row],[CCCM - new]] - tblPiNHistorical[[#This Row],[CCCM - old]])/tblPiNHistorical[[#This Row],[CCCM - old]], 1), "")</f>
        <v>0.4</v>
      </c>
      <c r="AE90" s="104">
        <f>IFERROR(ROUND((tblPiNHistorical[[#This Row],[Education - new]]-tblPiNHistorical[[#This Row],[Education - old]])/tblPiNHistorical[[#This Row],[Education - old]], 1), "")</f>
        <v>0.4</v>
      </c>
      <c r="AF90" s="104">
        <f>IFERROR(ROUND((tblPiNHistorical[[#This Row],[Nutrition - new]]-tblPiNHistorical[[#This Row],[Nutrition - old]])/tblPiNHistorical[[#This Row],[Nutrition - old]], 1), "")</f>
        <v>2.5</v>
      </c>
      <c r="AG90" s="104">
        <f>IFERROR(ROUND((tblPiNHistorical[[#This Row],[Food Security - new]]-tblPiNHistorical[[#This Row],[Food Security - old]])/tblPiNHistorical[[#This Row],[Food Security - old]], 1), "")</f>
        <v>0.1</v>
      </c>
      <c r="AH90" s="104">
        <f>IFERROR(ROUND((tblPiNHistorical[[#This Row],[Health - new]]-tblPiNHistorical[[#This Row],[Health - old]])/tblPiNHistorical[[#This Row],[Health - old]], 1), "")</f>
        <v>-0.6</v>
      </c>
      <c r="AI90" s="104">
        <f>IFERROR(ROUND((tblPiNHistorical[[#This Row],[Overarching Protection - new]]-tblPiNHistorical[[#This Row],[Overarching Protection - old]])/tblPiNHistorical[[#This Row],[Overarching Protection - old]], 1), "")</f>
        <v>0.2</v>
      </c>
      <c r="AJ90" s="104">
        <f>IFERROR(ROUND((tblPiNHistorical[[#This Row],[Shelter - new]]-tblPiNHistorical[[#This Row],[Shelter - old]])/tblPiNHistorical[[#This Row],[Shelter - old]], 1), "")</f>
        <v>-0.4</v>
      </c>
      <c r="AK90" s="11">
        <f>IFERROR(ROUND((tblPiNHistorical[[#This Row],[WASH - new]]-tblPiNHistorical[[#This Row],[WASH - old]])/tblPiNHistorical[[#This Row],[WASH - old]], 1), "")</f>
        <v>-0.8</v>
      </c>
    </row>
    <row r="91" spans="1:37" ht="17.649999999999999" customHeight="1" x14ac:dyDescent="0.25">
      <c r="A91" s="97" t="s">
        <v>350</v>
      </c>
      <c r="B91" s="65" t="s">
        <v>360</v>
      </c>
      <c r="C91" s="65" t="s">
        <v>334</v>
      </c>
      <c r="D91" s="40" t="s">
        <v>194</v>
      </c>
      <c r="E91" s="37">
        <v>85148</v>
      </c>
      <c r="F91" s="98">
        <v>743</v>
      </c>
      <c r="G91" s="99">
        <v>7809.2108487088844</v>
      </c>
      <c r="H91" s="99">
        <v>1794</v>
      </c>
      <c r="I91" s="99">
        <v>31612</v>
      </c>
      <c r="J91" s="99">
        <v>48366</v>
      </c>
      <c r="K91" s="99">
        <v>9117</v>
      </c>
      <c r="L91" s="100">
        <v>42723</v>
      </c>
      <c r="M91" s="113">
        <v>45571.532599999999</v>
      </c>
      <c r="N91" s="101">
        <v>5550</v>
      </c>
      <c r="O91" s="101">
        <v>12504</v>
      </c>
      <c r="P91" s="99">
        <v>6676</v>
      </c>
      <c r="Q91" s="99">
        <v>34438</v>
      </c>
      <c r="R91" s="99">
        <v>30579</v>
      </c>
      <c r="S91" s="99">
        <v>11539</v>
      </c>
      <c r="T91" s="99">
        <v>40724</v>
      </c>
      <c r="U91" s="99">
        <v>16635</v>
      </c>
      <c r="V91" s="102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>4807</v>
      </c>
      <c r="W91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4694.7891512911156</v>
      </c>
      <c r="X91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4882</v>
      </c>
      <c r="Y91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2826</v>
      </c>
      <c r="Z91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-17787</v>
      </c>
      <c r="AA91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2422</v>
      </c>
      <c r="AB91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-1999</v>
      </c>
      <c r="AC91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-28936.532599999999</v>
      </c>
      <c r="AD91" s="115">
        <f>IFERROR(ROUND((tblPiNHistorical[[#This Row],[CCCM - new]] - tblPiNHistorical[[#This Row],[CCCM - old]])/tblPiNHistorical[[#This Row],[CCCM - old]], 1), "")</f>
        <v>6.5</v>
      </c>
      <c r="AE91" s="104">
        <f>IFERROR(ROUND((tblPiNHistorical[[#This Row],[Education - new]]-tblPiNHistorical[[#This Row],[Education - old]])/tblPiNHistorical[[#This Row],[Education - old]], 1), "")</f>
        <v>0.6</v>
      </c>
      <c r="AF91" s="104">
        <f>IFERROR(ROUND((tblPiNHistorical[[#This Row],[Nutrition - new]]-tblPiNHistorical[[#This Row],[Nutrition - old]])/tblPiNHistorical[[#This Row],[Nutrition - old]], 1), "")</f>
        <v>2.7</v>
      </c>
      <c r="AG91" s="104">
        <f>IFERROR(ROUND((tblPiNHistorical[[#This Row],[Food Security - new]]-tblPiNHistorical[[#This Row],[Food Security - old]])/tblPiNHistorical[[#This Row],[Food Security - old]], 1), "")</f>
        <v>0.1</v>
      </c>
      <c r="AH91" s="104">
        <f>IFERROR(ROUND((tblPiNHistorical[[#This Row],[Health - new]]-tblPiNHistorical[[#This Row],[Health - old]])/tblPiNHistorical[[#This Row],[Health - old]], 1), "")</f>
        <v>-0.4</v>
      </c>
      <c r="AI91" s="104">
        <f>IFERROR(ROUND((tblPiNHistorical[[#This Row],[Overarching Protection - new]]-tblPiNHistorical[[#This Row],[Overarching Protection - old]])/tblPiNHistorical[[#This Row],[Overarching Protection - old]], 1), "")</f>
        <v>0.3</v>
      </c>
      <c r="AJ91" s="104">
        <f>IFERROR(ROUND((tblPiNHistorical[[#This Row],[Shelter - new]]-tblPiNHistorical[[#This Row],[Shelter - old]])/tblPiNHistorical[[#This Row],[Shelter - old]], 1), "")</f>
        <v>0</v>
      </c>
      <c r="AK91" s="11">
        <f>IFERROR(ROUND((tblPiNHistorical[[#This Row],[WASH - new]]-tblPiNHistorical[[#This Row],[WASH - old]])/tblPiNHistorical[[#This Row],[WASH - old]], 1), "")</f>
        <v>-0.6</v>
      </c>
    </row>
    <row r="92" spans="1:37" ht="17.649999999999999" customHeight="1" x14ac:dyDescent="0.25">
      <c r="A92" s="97" t="s">
        <v>349</v>
      </c>
      <c r="B92" s="65" t="s">
        <v>359</v>
      </c>
      <c r="C92" s="65" t="s">
        <v>282</v>
      </c>
      <c r="D92" s="40" t="s">
        <v>142</v>
      </c>
      <c r="E92" s="37">
        <v>207439</v>
      </c>
      <c r="F92" s="98">
        <v>0</v>
      </c>
      <c r="G92" s="99">
        <v>9618.0236133960098</v>
      </c>
      <c r="H92" s="99">
        <v>13440</v>
      </c>
      <c r="I92" s="99">
        <v>73577</v>
      </c>
      <c r="J92" s="99">
        <v>59826</v>
      </c>
      <c r="K92" s="99">
        <v>19008</v>
      </c>
      <c r="L92" s="100">
        <v>53752</v>
      </c>
      <c r="M92" s="113">
        <v>25454.23650000001</v>
      </c>
      <c r="N92" s="101">
        <v>55220</v>
      </c>
      <c r="O92" s="101">
        <v>4633</v>
      </c>
      <c r="P92" s="99">
        <v>19015</v>
      </c>
      <c r="Q92" s="99">
        <v>137197</v>
      </c>
      <c r="R92" s="99">
        <v>130006</v>
      </c>
      <c r="S92" s="99">
        <v>40186</v>
      </c>
      <c r="T92" s="99">
        <v>82674</v>
      </c>
      <c r="U92" s="99">
        <v>124795</v>
      </c>
      <c r="V92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92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-4985.0236133960098</v>
      </c>
      <c r="X92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5575</v>
      </c>
      <c r="Y92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63620</v>
      </c>
      <c r="Z92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70180</v>
      </c>
      <c r="AA92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21178</v>
      </c>
      <c r="AB92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28922</v>
      </c>
      <c r="AC92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99340.763499999986</v>
      </c>
      <c r="AD92" s="115" t="str">
        <f>IFERROR(ROUND((tblPiNHistorical[[#This Row],[CCCM - new]] - tblPiNHistorical[[#This Row],[CCCM - old]])/tblPiNHistorical[[#This Row],[CCCM - old]], 1), "")</f>
        <v/>
      </c>
      <c r="AE92" s="104">
        <f>IFERROR(ROUND((tblPiNHistorical[[#This Row],[Education - new]]-tblPiNHistorical[[#This Row],[Education - old]])/tblPiNHistorical[[#This Row],[Education - old]], 1), "")</f>
        <v>-0.5</v>
      </c>
      <c r="AF92" s="104">
        <f>IFERROR(ROUND((tblPiNHistorical[[#This Row],[Nutrition - new]]-tblPiNHistorical[[#This Row],[Nutrition - old]])/tblPiNHistorical[[#This Row],[Nutrition - old]], 1), "")</f>
        <v>0.4</v>
      </c>
      <c r="AG92" s="104">
        <f>IFERROR(ROUND((tblPiNHistorical[[#This Row],[Food Security - new]]-tblPiNHistorical[[#This Row],[Food Security - old]])/tblPiNHistorical[[#This Row],[Food Security - old]], 1), "")</f>
        <v>0.9</v>
      </c>
      <c r="AH92" s="104">
        <f>IFERROR(ROUND((tblPiNHistorical[[#This Row],[Health - new]]-tblPiNHistorical[[#This Row],[Health - old]])/tblPiNHistorical[[#This Row],[Health - old]], 1), "")</f>
        <v>1.2</v>
      </c>
      <c r="AI92" s="104">
        <f>IFERROR(ROUND((tblPiNHistorical[[#This Row],[Overarching Protection - new]]-tblPiNHistorical[[#This Row],[Overarching Protection - old]])/tblPiNHistorical[[#This Row],[Overarching Protection - old]], 1), "")</f>
        <v>1.1000000000000001</v>
      </c>
      <c r="AJ92" s="104">
        <f>IFERROR(ROUND((tblPiNHistorical[[#This Row],[Shelter - new]]-tblPiNHistorical[[#This Row],[Shelter - old]])/tblPiNHistorical[[#This Row],[Shelter - old]], 1), "")</f>
        <v>0.5</v>
      </c>
      <c r="AK92" s="11">
        <f>IFERROR(ROUND((tblPiNHistorical[[#This Row],[WASH - new]]-tblPiNHistorical[[#This Row],[WASH - old]])/tblPiNHistorical[[#This Row],[WASH - old]], 1), "")</f>
        <v>3.9</v>
      </c>
    </row>
    <row r="93" spans="1:37" ht="17.649999999999999" customHeight="1" x14ac:dyDescent="0.25">
      <c r="A93" s="97" t="s">
        <v>349</v>
      </c>
      <c r="B93" s="65" t="s">
        <v>359</v>
      </c>
      <c r="C93" s="65" t="s">
        <v>338</v>
      </c>
      <c r="D93" s="40" t="s">
        <v>198</v>
      </c>
      <c r="E93" s="37">
        <v>93827</v>
      </c>
      <c r="F93" s="98">
        <v>0</v>
      </c>
      <c r="G93" s="99">
        <v>4041.6708585189926</v>
      </c>
      <c r="H93" s="99">
        <v>6741</v>
      </c>
      <c r="I93" s="99">
        <v>30433</v>
      </c>
      <c r="J93" s="99">
        <v>44718</v>
      </c>
      <c r="K93" s="99">
        <v>8928</v>
      </c>
      <c r="L93" s="100">
        <v>48509</v>
      </c>
      <c r="M93" s="113">
        <v>28662.485499999999</v>
      </c>
      <c r="N93" s="101">
        <v>12608</v>
      </c>
      <c r="O93" s="101">
        <v>4435</v>
      </c>
      <c r="P93" s="99">
        <v>8356</v>
      </c>
      <c r="Q93" s="99">
        <v>45587</v>
      </c>
      <c r="R93" s="99">
        <v>39610</v>
      </c>
      <c r="S93" s="99">
        <v>18489</v>
      </c>
      <c r="T93" s="99">
        <v>33794</v>
      </c>
      <c r="U93" s="99">
        <v>31919</v>
      </c>
      <c r="V93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93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393.32914148100735</v>
      </c>
      <c r="X93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1615</v>
      </c>
      <c r="Y93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15154</v>
      </c>
      <c r="Z93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-5108</v>
      </c>
      <c r="AA93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9561</v>
      </c>
      <c r="AB93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-14715</v>
      </c>
      <c r="AC93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3256.5145000000011</v>
      </c>
      <c r="AD93" s="115" t="str">
        <f>IFERROR(ROUND((tblPiNHistorical[[#This Row],[CCCM - new]] - tblPiNHistorical[[#This Row],[CCCM - old]])/tblPiNHistorical[[#This Row],[CCCM - old]], 1), "")</f>
        <v/>
      </c>
      <c r="AE93" s="104">
        <f>IFERROR(ROUND((tblPiNHistorical[[#This Row],[Education - new]]-tblPiNHistorical[[#This Row],[Education - old]])/tblPiNHistorical[[#This Row],[Education - old]], 1), "")</f>
        <v>0.1</v>
      </c>
      <c r="AF93" s="104">
        <f>IFERROR(ROUND((tblPiNHistorical[[#This Row],[Nutrition - new]]-tblPiNHistorical[[#This Row],[Nutrition - old]])/tblPiNHistorical[[#This Row],[Nutrition - old]], 1), "")</f>
        <v>0.2</v>
      </c>
      <c r="AG93" s="104">
        <f>IFERROR(ROUND((tblPiNHistorical[[#This Row],[Food Security - new]]-tblPiNHistorical[[#This Row],[Food Security - old]])/tblPiNHistorical[[#This Row],[Food Security - old]], 1), "")</f>
        <v>0.5</v>
      </c>
      <c r="AH93" s="104">
        <f>IFERROR(ROUND((tblPiNHistorical[[#This Row],[Health - new]]-tblPiNHistorical[[#This Row],[Health - old]])/tblPiNHistorical[[#This Row],[Health - old]], 1), "")</f>
        <v>-0.1</v>
      </c>
      <c r="AI93" s="104">
        <f>IFERROR(ROUND((tblPiNHistorical[[#This Row],[Overarching Protection - new]]-tblPiNHistorical[[#This Row],[Overarching Protection - old]])/tblPiNHistorical[[#This Row],[Overarching Protection - old]], 1), "")</f>
        <v>1.1000000000000001</v>
      </c>
      <c r="AJ93" s="104">
        <f>IFERROR(ROUND((tblPiNHistorical[[#This Row],[Shelter - new]]-tblPiNHistorical[[#This Row],[Shelter - old]])/tblPiNHistorical[[#This Row],[Shelter - old]], 1), "")</f>
        <v>-0.3</v>
      </c>
      <c r="AK93" s="11">
        <f>IFERROR(ROUND((tblPiNHistorical[[#This Row],[WASH - new]]-tblPiNHistorical[[#This Row],[WASH - old]])/tblPiNHistorical[[#This Row],[WASH - old]], 1), "")</f>
        <v>0.1</v>
      </c>
    </row>
    <row r="94" spans="1:37" ht="17.649999999999999" customHeight="1" x14ac:dyDescent="0.25">
      <c r="A94" s="97" t="s">
        <v>349</v>
      </c>
      <c r="B94" s="65" t="s">
        <v>359</v>
      </c>
      <c r="C94" s="65" t="s">
        <v>240</v>
      </c>
      <c r="D94" s="40" t="s">
        <v>100</v>
      </c>
      <c r="E94" s="37">
        <v>41237</v>
      </c>
      <c r="F94" s="98">
        <v>0</v>
      </c>
      <c r="G94" s="99">
        <v>1410.7377306916869</v>
      </c>
      <c r="H94" s="99">
        <v>2137</v>
      </c>
      <c r="I94" s="99">
        <v>15265</v>
      </c>
      <c r="J94" s="99">
        <v>11112</v>
      </c>
      <c r="K94" s="99">
        <v>3226</v>
      </c>
      <c r="L94" s="100">
        <v>16163</v>
      </c>
      <c r="M94" s="113">
        <v>16857.487500000003</v>
      </c>
      <c r="N94" s="101">
        <v>4410</v>
      </c>
      <c r="O94" s="101">
        <v>3780</v>
      </c>
      <c r="P94" s="99">
        <v>3512</v>
      </c>
      <c r="Q94" s="99">
        <v>18684</v>
      </c>
      <c r="R94" s="99">
        <v>15904</v>
      </c>
      <c r="S94" s="99">
        <v>10284</v>
      </c>
      <c r="T94" s="99">
        <v>18383</v>
      </c>
      <c r="U94" s="99">
        <v>11739</v>
      </c>
      <c r="V94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94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2369.2622693083131</v>
      </c>
      <c r="X94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1375</v>
      </c>
      <c r="Y94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3419</v>
      </c>
      <c r="Z94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4792</v>
      </c>
      <c r="AA94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7058</v>
      </c>
      <c r="AB94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2220</v>
      </c>
      <c r="AC94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-5118.4875000000029</v>
      </c>
      <c r="AD94" s="115" t="str">
        <f>IFERROR(ROUND((tblPiNHistorical[[#This Row],[CCCM - new]] - tblPiNHistorical[[#This Row],[CCCM - old]])/tblPiNHistorical[[#This Row],[CCCM - old]], 1), "")</f>
        <v/>
      </c>
      <c r="AE94" s="104">
        <f>IFERROR(ROUND((tblPiNHistorical[[#This Row],[Education - new]]-tblPiNHistorical[[#This Row],[Education - old]])/tblPiNHistorical[[#This Row],[Education - old]], 1), "")</f>
        <v>1.7</v>
      </c>
      <c r="AF94" s="104">
        <f>IFERROR(ROUND((tblPiNHistorical[[#This Row],[Nutrition - new]]-tblPiNHistorical[[#This Row],[Nutrition - old]])/tblPiNHistorical[[#This Row],[Nutrition - old]], 1), "")</f>
        <v>0.6</v>
      </c>
      <c r="AG94" s="104">
        <f>IFERROR(ROUND((tblPiNHistorical[[#This Row],[Food Security - new]]-tblPiNHistorical[[#This Row],[Food Security - old]])/tblPiNHistorical[[#This Row],[Food Security - old]], 1), "")</f>
        <v>0.2</v>
      </c>
      <c r="AH94" s="104">
        <f>IFERROR(ROUND((tblPiNHistorical[[#This Row],[Health - new]]-tblPiNHistorical[[#This Row],[Health - old]])/tblPiNHistorical[[#This Row],[Health - old]], 1), "")</f>
        <v>0.4</v>
      </c>
      <c r="AI94" s="104">
        <f>IFERROR(ROUND((tblPiNHistorical[[#This Row],[Overarching Protection - new]]-tblPiNHistorical[[#This Row],[Overarching Protection - old]])/tblPiNHistorical[[#This Row],[Overarching Protection - old]], 1), "")</f>
        <v>2.2000000000000002</v>
      </c>
      <c r="AJ94" s="104">
        <f>IFERROR(ROUND((tblPiNHistorical[[#This Row],[Shelter - new]]-tblPiNHistorical[[#This Row],[Shelter - old]])/tblPiNHistorical[[#This Row],[Shelter - old]], 1), "")</f>
        <v>0.1</v>
      </c>
      <c r="AK94" s="11">
        <f>IFERROR(ROUND((tblPiNHistorical[[#This Row],[WASH - new]]-tblPiNHistorical[[#This Row],[WASH - old]])/tblPiNHistorical[[#This Row],[WASH - old]], 1), "")</f>
        <v>-0.3</v>
      </c>
    </row>
    <row r="95" spans="1:37" ht="17.649999999999999" customHeight="1" x14ac:dyDescent="0.25">
      <c r="A95" s="97" t="s">
        <v>349</v>
      </c>
      <c r="B95" s="65" t="s">
        <v>359</v>
      </c>
      <c r="C95" s="65" t="s">
        <v>228</v>
      </c>
      <c r="D95" s="40" t="s">
        <v>88</v>
      </c>
      <c r="E95" s="37">
        <v>51550</v>
      </c>
      <c r="F95" s="98">
        <v>0</v>
      </c>
      <c r="G95" s="99">
        <v>2352.1460397017531</v>
      </c>
      <c r="H95" s="99">
        <v>3991</v>
      </c>
      <c r="I95" s="99">
        <v>18017</v>
      </c>
      <c r="J95" s="99">
        <v>11812</v>
      </c>
      <c r="K95" s="99">
        <v>5036</v>
      </c>
      <c r="L95" s="100">
        <v>24253</v>
      </c>
      <c r="M95" s="113">
        <v>12126.600000000002</v>
      </c>
      <c r="N95" s="101">
        <v>1553</v>
      </c>
      <c r="O95" s="101">
        <v>5018</v>
      </c>
      <c r="P95" s="99">
        <v>4595</v>
      </c>
      <c r="Q95" s="99">
        <v>26989</v>
      </c>
      <c r="R95" s="99">
        <v>13876</v>
      </c>
      <c r="S95" s="99">
        <v>10714</v>
      </c>
      <c r="T95" s="99">
        <v>19845</v>
      </c>
      <c r="U95" s="99">
        <v>11215</v>
      </c>
      <c r="V95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95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2665.8539602982469</v>
      </c>
      <c r="X95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604</v>
      </c>
      <c r="Y95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8972</v>
      </c>
      <c r="Z95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2064</v>
      </c>
      <c r="AA95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5678</v>
      </c>
      <c r="AB95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-4408</v>
      </c>
      <c r="AC95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-911.60000000000218</v>
      </c>
      <c r="AD95" s="115" t="str">
        <f>IFERROR(ROUND((tblPiNHistorical[[#This Row],[CCCM - new]] - tblPiNHistorical[[#This Row],[CCCM - old]])/tblPiNHistorical[[#This Row],[CCCM - old]], 1), "")</f>
        <v/>
      </c>
      <c r="AE95" s="104">
        <f>IFERROR(ROUND((tblPiNHistorical[[#This Row],[Education - new]]-tblPiNHistorical[[#This Row],[Education - old]])/tblPiNHistorical[[#This Row],[Education - old]], 1), "")</f>
        <v>1.1000000000000001</v>
      </c>
      <c r="AF95" s="104">
        <f>IFERROR(ROUND((tblPiNHistorical[[#This Row],[Nutrition - new]]-tblPiNHistorical[[#This Row],[Nutrition - old]])/tblPiNHistorical[[#This Row],[Nutrition - old]], 1), "")</f>
        <v>0.2</v>
      </c>
      <c r="AG95" s="104">
        <f>IFERROR(ROUND((tblPiNHistorical[[#This Row],[Food Security - new]]-tblPiNHistorical[[#This Row],[Food Security - old]])/tblPiNHistorical[[#This Row],[Food Security - old]], 1), "")</f>
        <v>0.5</v>
      </c>
      <c r="AH95" s="104">
        <f>IFERROR(ROUND((tblPiNHistorical[[#This Row],[Health - new]]-tblPiNHistorical[[#This Row],[Health - old]])/tblPiNHistorical[[#This Row],[Health - old]], 1), "")</f>
        <v>0.2</v>
      </c>
      <c r="AI95" s="104">
        <f>IFERROR(ROUND((tblPiNHistorical[[#This Row],[Overarching Protection - new]]-tblPiNHistorical[[#This Row],[Overarching Protection - old]])/tblPiNHistorical[[#This Row],[Overarching Protection - old]], 1), "")</f>
        <v>1.1000000000000001</v>
      </c>
      <c r="AJ95" s="104">
        <f>IFERROR(ROUND((tblPiNHistorical[[#This Row],[Shelter - new]]-tblPiNHistorical[[#This Row],[Shelter - old]])/tblPiNHistorical[[#This Row],[Shelter - old]], 1), "")</f>
        <v>-0.2</v>
      </c>
      <c r="AK95" s="11">
        <f>IFERROR(ROUND((tblPiNHistorical[[#This Row],[WASH - new]]-tblPiNHistorical[[#This Row],[WASH - old]])/tblPiNHistorical[[#This Row],[WASH - old]], 1), "")</f>
        <v>-0.1</v>
      </c>
    </row>
    <row r="96" spans="1:37" ht="17.649999999999999" customHeight="1" x14ac:dyDescent="0.25">
      <c r="A96" s="97" t="s">
        <v>349</v>
      </c>
      <c r="B96" s="65" t="s">
        <v>359</v>
      </c>
      <c r="C96" s="65" t="s">
        <v>287</v>
      </c>
      <c r="D96" s="40" t="s">
        <v>147</v>
      </c>
      <c r="E96" s="37">
        <v>27507</v>
      </c>
      <c r="F96" s="98">
        <v>0</v>
      </c>
      <c r="G96" s="99">
        <v>1204.9642302984525</v>
      </c>
      <c r="H96" s="99">
        <v>2120</v>
      </c>
      <c r="I96" s="99">
        <v>9573</v>
      </c>
      <c r="J96" s="99">
        <v>10881</v>
      </c>
      <c r="K96" s="99">
        <v>2793</v>
      </c>
      <c r="L96" s="100">
        <v>6903</v>
      </c>
      <c r="M96" s="113">
        <v>6902.5</v>
      </c>
      <c r="N96" s="101">
        <v>2906</v>
      </c>
      <c r="O96" s="101">
        <v>2810</v>
      </c>
      <c r="P96" s="99">
        <v>2451</v>
      </c>
      <c r="Q96" s="99">
        <v>14341</v>
      </c>
      <c r="R96" s="99">
        <v>10431</v>
      </c>
      <c r="S96" s="99">
        <v>4524</v>
      </c>
      <c r="T96" s="99">
        <v>12785</v>
      </c>
      <c r="U96" s="99">
        <v>9410</v>
      </c>
      <c r="V96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96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1605.0357697015475</v>
      </c>
      <c r="X96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331</v>
      </c>
      <c r="Y96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4768</v>
      </c>
      <c r="Z96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-450</v>
      </c>
      <c r="AA96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1731</v>
      </c>
      <c r="AB96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5882</v>
      </c>
      <c r="AC96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2507.5</v>
      </c>
      <c r="AD96" s="115" t="str">
        <f>IFERROR(ROUND((tblPiNHistorical[[#This Row],[CCCM - new]] - tblPiNHistorical[[#This Row],[CCCM - old]])/tblPiNHistorical[[#This Row],[CCCM - old]], 1), "")</f>
        <v/>
      </c>
      <c r="AE96" s="104">
        <f>IFERROR(ROUND((tblPiNHistorical[[#This Row],[Education - new]]-tblPiNHistorical[[#This Row],[Education - old]])/tblPiNHistorical[[#This Row],[Education - old]], 1), "")</f>
        <v>1.3</v>
      </c>
      <c r="AF96" s="104">
        <f>IFERROR(ROUND((tblPiNHistorical[[#This Row],[Nutrition - new]]-tblPiNHistorical[[#This Row],[Nutrition - old]])/tblPiNHistorical[[#This Row],[Nutrition - old]], 1), "")</f>
        <v>0.2</v>
      </c>
      <c r="AG96" s="104">
        <f>IFERROR(ROUND((tblPiNHistorical[[#This Row],[Food Security - new]]-tblPiNHistorical[[#This Row],[Food Security - old]])/tblPiNHistorical[[#This Row],[Food Security - old]], 1), "")</f>
        <v>0.5</v>
      </c>
      <c r="AH96" s="104">
        <f>IFERROR(ROUND((tblPiNHistorical[[#This Row],[Health - new]]-tblPiNHistorical[[#This Row],[Health - old]])/tblPiNHistorical[[#This Row],[Health - old]], 1), "")</f>
        <v>0</v>
      </c>
      <c r="AI96" s="104">
        <f>IFERROR(ROUND((tblPiNHistorical[[#This Row],[Overarching Protection - new]]-tblPiNHistorical[[#This Row],[Overarching Protection - old]])/tblPiNHistorical[[#This Row],[Overarching Protection - old]], 1), "")</f>
        <v>0.6</v>
      </c>
      <c r="AJ96" s="104">
        <f>IFERROR(ROUND((tblPiNHistorical[[#This Row],[Shelter - new]]-tblPiNHistorical[[#This Row],[Shelter - old]])/tblPiNHistorical[[#This Row],[Shelter - old]], 1), "")</f>
        <v>0.9</v>
      </c>
      <c r="AK96" s="11">
        <f>IFERROR(ROUND((tblPiNHistorical[[#This Row],[WASH - new]]-tblPiNHistorical[[#This Row],[WASH - old]])/tblPiNHistorical[[#This Row],[WASH - old]], 1), "")</f>
        <v>0.4</v>
      </c>
    </row>
    <row r="97" spans="1:37" ht="17.649999999999999" customHeight="1" x14ac:dyDescent="0.25">
      <c r="A97" s="97" t="s">
        <v>349</v>
      </c>
      <c r="B97" s="65" t="s">
        <v>359</v>
      </c>
      <c r="C97" s="65" t="s">
        <v>268</v>
      </c>
      <c r="D97" s="40" t="s">
        <v>128</v>
      </c>
      <c r="E97" s="37">
        <v>17491</v>
      </c>
      <c r="F97" s="98">
        <v>0</v>
      </c>
      <c r="G97" s="99">
        <v>599.99450337352869</v>
      </c>
      <c r="H97" s="99">
        <v>1364</v>
      </c>
      <c r="I97" s="99">
        <v>7700</v>
      </c>
      <c r="J97" s="99">
        <v>4097</v>
      </c>
      <c r="K97" s="99">
        <v>1517</v>
      </c>
      <c r="L97" s="100">
        <v>0</v>
      </c>
      <c r="M97" s="113">
        <v>1787.24</v>
      </c>
      <c r="N97" s="101">
        <v>338</v>
      </c>
      <c r="O97" s="101">
        <v>1926</v>
      </c>
      <c r="P97" s="99">
        <v>1475</v>
      </c>
      <c r="Q97" s="99">
        <v>7549</v>
      </c>
      <c r="R97" s="99">
        <v>4502</v>
      </c>
      <c r="S97" s="99">
        <v>1840</v>
      </c>
      <c r="T97" s="99">
        <v>5000</v>
      </c>
      <c r="U97" s="99">
        <v>8908</v>
      </c>
      <c r="V97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97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1326.0054966264713</v>
      </c>
      <c r="X97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111</v>
      </c>
      <c r="Y97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-151</v>
      </c>
      <c r="Z97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405</v>
      </c>
      <c r="AA97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323</v>
      </c>
      <c r="AB97" s="103" t="str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/>
      </c>
      <c r="AC97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7120.76</v>
      </c>
      <c r="AD97" s="115" t="str">
        <f>IFERROR(ROUND((tblPiNHistorical[[#This Row],[CCCM - new]] - tblPiNHistorical[[#This Row],[CCCM - old]])/tblPiNHistorical[[#This Row],[CCCM - old]], 1), "")</f>
        <v/>
      </c>
      <c r="AE97" s="104">
        <f>IFERROR(ROUND((tblPiNHistorical[[#This Row],[Education - new]]-tblPiNHistorical[[#This Row],[Education - old]])/tblPiNHistorical[[#This Row],[Education - old]], 1), "")</f>
        <v>2.2000000000000002</v>
      </c>
      <c r="AF97" s="104">
        <f>IFERROR(ROUND((tblPiNHistorical[[#This Row],[Nutrition - new]]-tblPiNHistorical[[#This Row],[Nutrition - old]])/tblPiNHistorical[[#This Row],[Nutrition - old]], 1), "")</f>
        <v>0.1</v>
      </c>
      <c r="AG97" s="104">
        <f>IFERROR(ROUND((tblPiNHistorical[[#This Row],[Food Security - new]]-tblPiNHistorical[[#This Row],[Food Security - old]])/tblPiNHistorical[[#This Row],[Food Security - old]], 1), "")</f>
        <v>0</v>
      </c>
      <c r="AH97" s="104">
        <f>IFERROR(ROUND((tblPiNHistorical[[#This Row],[Health - new]]-tblPiNHistorical[[#This Row],[Health - old]])/tblPiNHistorical[[#This Row],[Health - old]], 1), "")</f>
        <v>0.1</v>
      </c>
      <c r="AI97" s="104">
        <f>IFERROR(ROUND((tblPiNHistorical[[#This Row],[Overarching Protection - new]]-tblPiNHistorical[[#This Row],[Overarching Protection - old]])/tblPiNHistorical[[#This Row],[Overarching Protection - old]], 1), "")</f>
        <v>0.2</v>
      </c>
      <c r="AJ97" s="104" t="str">
        <f>IFERROR(ROUND((tblPiNHistorical[[#This Row],[Shelter - new]]-tblPiNHistorical[[#This Row],[Shelter - old]])/tblPiNHistorical[[#This Row],[Shelter - old]], 1), "")</f>
        <v/>
      </c>
      <c r="AK97" s="11">
        <f>IFERROR(ROUND((tblPiNHistorical[[#This Row],[WASH - new]]-tblPiNHistorical[[#This Row],[WASH - old]])/tblPiNHistorical[[#This Row],[WASH - old]], 1), "")</f>
        <v>4</v>
      </c>
    </row>
    <row r="98" spans="1:37" ht="17.649999999999999" customHeight="1" x14ac:dyDescent="0.25">
      <c r="A98" s="97" t="s">
        <v>349</v>
      </c>
      <c r="B98" s="65" t="s">
        <v>359</v>
      </c>
      <c r="C98" s="65" t="s">
        <v>316</v>
      </c>
      <c r="D98" s="40" t="s">
        <v>176</v>
      </c>
      <c r="E98" s="37">
        <v>25431</v>
      </c>
      <c r="F98" s="98">
        <v>0</v>
      </c>
      <c r="G98" s="99">
        <v>1460.6208931412027</v>
      </c>
      <c r="H98" s="99">
        <v>1575</v>
      </c>
      <c r="I98" s="99">
        <v>9549</v>
      </c>
      <c r="J98" s="99">
        <v>2948</v>
      </c>
      <c r="K98" s="99">
        <v>3299</v>
      </c>
      <c r="L98" s="100">
        <v>11714</v>
      </c>
      <c r="M98" s="113">
        <v>12550.5</v>
      </c>
      <c r="N98" s="101">
        <v>5943</v>
      </c>
      <c r="O98" s="101">
        <v>2624</v>
      </c>
      <c r="P98" s="99">
        <v>2441</v>
      </c>
      <c r="Q98" s="99">
        <v>9363</v>
      </c>
      <c r="R98" s="99">
        <v>14707</v>
      </c>
      <c r="S98" s="99">
        <v>6011</v>
      </c>
      <c r="T98" s="99">
        <v>5367</v>
      </c>
      <c r="U98" s="99">
        <v>14769</v>
      </c>
      <c r="V98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98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1163.3791068587973</v>
      </c>
      <c r="X98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866</v>
      </c>
      <c r="Y98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-186</v>
      </c>
      <c r="Z98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11759</v>
      </c>
      <c r="AA98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2712</v>
      </c>
      <c r="AB98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-6347</v>
      </c>
      <c r="AC98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2218.5</v>
      </c>
      <c r="AD98" s="115" t="str">
        <f>IFERROR(ROUND((tblPiNHistorical[[#This Row],[CCCM - new]] - tblPiNHistorical[[#This Row],[CCCM - old]])/tblPiNHistorical[[#This Row],[CCCM - old]], 1), "")</f>
        <v/>
      </c>
      <c r="AE98" s="104">
        <f>IFERROR(ROUND((tblPiNHistorical[[#This Row],[Education - new]]-tblPiNHistorical[[#This Row],[Education - old]])/tblPiNHistorical[[#This Row],[Education - old]], 1), "")</f>
        <v>0.8</v>
      </c>
      <c r="AF98" s="104">
        <f>IFERROR(ROUND((tblPiNHistorical[[#This Row],[Nutrition - new]]-tblPiNHistorical[[#This Row],[Nutrition - old]])/tblPiNHistorical[[#This Row],[Nutrition - old]], 1), "")</f>
        <v>0.5</v>
      </c>
      <c r="AG98" s="104">
        <f>IFERROR(ROUND((tblPiNHistorical[[#This Row],[Food Security - new]]-tblPiNHistorical[[#This Row],[Food Security - old]])/tblPiNHistorical[[#This Row],[Food Security - old]], 1), "")</f>
        <v>0</v>
      </c>
      <c r="AH98" s="104">
        <f>IFERROR(ROUND((tblPiNHistorical[[#This Row],[Health - new]]-tblPiNHistorical[[#This Row],[Health - old]])/tblPiNHistorical[[#This Row],[Health - old]], 1), "")</f>
        <v>4</v>
      </c>
      <c r="AI98" s="104">
        <f>IFERROR(ROUND((tblPiNHistorical[[#This Row],[Overarching Protection - new]]-tblPiNHistorical[[#This Row],[Overarching Protection - old]])/tblPiNHistorical[[#This Row],[Overarching Protection - old]], 1), "")</f>
        <v>0.8</v>
      </c>
      <c r="AJ98" s="104">
        <f>IFERROR(ROUND((tblPiNHistorical[[#This Row],[Shelter - new]]-tblPiNHistorical[[#This Row],[Shelter - old]])/tblPiNHistorical[[#This Row],[Shelter - old]], 1), "")</f>
        <v>-0.5</v>
      </c>
      <c r="AK98" s="11">
        <f>IFERROR(ROUND((tblPiNHistorical[[#This Row],[WASH - new]]-tblPiNHistorical[[#This Row],[WASH - old]])/tblPiNHistorical[[#This Row],[WASH - old]], 1), "")</f>
        <v>0.2</v>
      </c>
    </row>
    <row r="99" spans="1:37" ht="17.649999999999999" customHeight="1" x14ac:dyDescent="0.25">
      <c r="A99" s="97" t="s">
        <v>349</v>
      </c>
      <c r="B99" s="65" t="s">
        <v>359</v>
      </c>
      <c r="C99" s="65" t="s">
        <v>325</v>
      </c>
      <c r="D99" s="40" t="s">
        <v>185</v>
      </c>
      <c r="E99" s="37">
        <v>35362</v>
      </c>
      <c r="F99" s="98">
        <v>0</v>
      </c>
      <c r="G99" s="99">
        <v>1196.6285487342725</v>
      </c>
      <c r="H99" s="99">
        <v>2265</v>
      </c>
      <c r="I99" s="99">
        <v>12783</v>
      </c>
      <c r="J99" s="99">
        <v>9803</v>
      </c>
      <c r="K99" s="99">
        <v>2688</v>
      </c>
      <c r="L99" s="100">
        <v>15994</v>
      </c>
      <c r="M99" s="113">
        <v>6854.75</v>
      </c>
      <c r="N99" s="101">
        <v>9900</v>
      </c>
      <c r="O99" s="101">
        <v>3593</v>
      </c>
      <c r="P99" s="99">
        <v>3063</v>
      </c>
      <c r="Q99" s="99">
        <v>12534</v>
      </c>
      <c r="R99" s="99">
        <v>22514</v>
      </c>
      <c r="S99" s="99">
        <v>7231</v>
      </c>
      <c r="T99" s="99">
        <v>16324</v>
      </c>
      <c r="U99" s="99">
        <v>22091</v>
      </c>
      <c r="V99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99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2396.3714512657275</v>
      </c>
      <c r="X99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798</v>
      </c>
      <c r="Y99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-249</v>
      </c>
      <c r="Z99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12711</v>
      </c>
      <c r="AA99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4543</v>
      </c>
      <c r="AB99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330</v>
      </c>
      <c r="AC99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15236.25</v>
      </c>
      <c r="AD99" s="115" t="str">
        <f>IFERROR(ROUND((tblPiNHistorical[[#This Row],[CCCM - new]] - tblPiNHistorical[[#This Row],[CCCM - old]])/tblPiNHistorical[[#This Row],[CCCM - old]], 1), "")</f>
        <v/>
      </c>
      <c r="AE99" s="104">
        <f>IFERROR(ROUND((tblPiNHistorical[[#This Row],[Education - new]]-tblPiNHistorical[[#This Row],[Education - old]])/tblPiNHistorical[[#This Row],[Education - old]], 1), "")</f>
        <v>2</v>
      </c>
      <c r="AF99" s="104">
        <f>IFERROR(ROUND((tblPiNHistorical[[#This Row],[Nutrition - new]]-tblPiNHistorical[[#This Row],[Nutrition - old]])/tblPiNHistorical[[#This Row],[Nutrition - old]], 1), "")</f>
        <v>0.4</v>
      </c>
      <c r="AG99" s="104">
        <f>IFERROR(ROUND((tblPiNHistorical[[#This Row],[Food Security - new]]-tblPiNHistorical[[#This Row],[Food Security - old]])/tblPiNHistorical[[#This Row],[Food Security - old]], 1), "")</f>
        <v>0</v>
      </c>
      <c r="AH99" s="104">
        <f>IFERROR(ROUND((tblPiNHistorical[[#This Row],[Health - new]]-tblPiNHistorical[[#This Row],[Health - old]])/tblPiNHistorical[[#This Row],[Health - old]], 1), "")</f>
        <v>1.3</v>
      </c>
      <c r="AI99" s="104">
        <f>IFERROR(ROUND((tblPiNHistorical[[#This Row],[Overarching Protection - new]]-tblPiNHistorical[[#This Row],[Overarching Protection - old]])/tblPiNHistorical[[#This Row],[Overarching Protection - old]], 1), "")</f>
        <v>1.7</v>
      </c>
      <c r="AJ99" s="104">
        <f>IFERROR(ROUND((tblPiNHistorical[[#This Row],[Shelter - new]]-tblPiNHistorical[[#This Row],[Shelter - old]])/tblPiNHistorical[[#This Row],[Shelter - old]], 1), "")</f>
        <v>0</v>
      </c>
      <c r="AK99" s="11">
        <f>IFERROR(ROUND((tblPiNHistorical[[#This Row],[WASH - new]]-tblPiNHistorical[[#This Row],[WASH - old]])/tblPiNHistorical[[#This Row],[WASH - old]], 1), "")</f>
        <v>2.2000000000000002</v>
      </c>
    </row>
    <row r="100" spans="1:37" ht="17.649999999999999" customHeight="1" x14ac:dyDescent="0.25">
      <c r="A100" s="97" t="s">
        <v>349</v>
      </c>
      <c r="B100" s="65" t="s">
        <v>359</v>
      </c>
      <c r="C100" s="65" t="s">
        <v>213</v>
      </c>
      <c r="D100" s="40" t="s">
        <v>73</v>
      </c>
      <c r="E100" s="37">
        <v>35838</v>
      </c>
      <c r="F100" s="98">
        <v>0</v>
      </c>
      <c r="G100" s="99">
        <v>1027.2527364275616</v>
      </c>
      <c r="H100" s="99">
        <v>2585</v>
      </c>
      <c r="I100" s="99">
        <v>14590</v>
      </c>
      <c r="J100" s="99">
        <v>12150</v>
      </c>
      <c r="K100" s="99">
        <v>2285</v>
      </c>
      <c r="L100" s="100">
        <v>14711</v>
      </c>
      <c r="M100" s="113">
        <v>11274.701999999999</v>
      </c>
      <c r="N100" s="101">
        <v>4617</v>
      </c>
      <c r="O100" s="101">
        <v>3796</v>
      </c>
      <c r="P100" s="99">
        <v>2977</v>
      </c>
      <c r="Q100" s="99">
        <v>14305</v>
      </c>
      <c r="R100" s="99">
        <v>14718</v>
      </c>
      <c r="S100" s="99">
        <v>4510</v>
      </c>
      <c r="T100" s="99">
        <v>20570</v>
      </c>
      <c r="U100" s="99">
        <v>11643</v>
      </c>
      <c r="V100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100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2768.7472635724384</v>
      </c>
      <c r="X100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392</v>
      </c>
      <c r="Y100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-285</v>
      </c>
      <c r="Z100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2568</v>
      </c>
      <c r="AA100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2225</v>
      </c>
      <c r="AB100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5859</v>
      </c>
      <c r="AC100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368.29800000000068</v>
      </c>
      <c r="AD100" s="115" t="str">
        <f>IFERROR(ROUND((tblPiNHistorical[[#This Row],[CCCM - new]] - tblPiNHistorical[[#This Row],[CCCM - old]])/tblPiNHistorical[[#This Row],[CCCM - old]], 1), "")</f>
        <v/>
      </c>
      <c r="AE100" s="104">
        <f>IFERROR(ROUND((tblPiNHistorical[[#This Row],[Education - new]]-tblPiNHistorical[[#This Row],[Education - old]])/tblPiNHistorical[[#This Row],[Education - old]], 1), "")</f>
        <v>2.7</v>
      </c>
      <c r="AF100" s="104">
        <f>IFERROR(ROUND((tblPiNHistorical[[#This Row],[Nutrition - new]]-tblPiNHistorical[[#This Row],[Nutrition - old]])/tblPiNHistorical[[#This Row],[Nutrition - old]], 1), "")</f>
        <v>0.2</v>
      </c>
      <c r="AG100" s="104">
        <f>IFERROR(ROUND((tblPiNHistorical[[#This Row],[Food Security - new]]-tblPiNHistorical[[#This Row],[Food Security - old]])/tblPiNHistorical[[#This Row],[Food Security - old]], 1), "")</f>
        <v>0</v>
      </c>
      <c r="AH100" s="104">
        <f>IFERROR(ROUND((tblPiNHistorical[[#This Row],[Health - new]]-tblPiNHistorical[[#This Row],[Health - old]])/tblPiNHistorical[[#This Row],[Health - old]], 1), "")</f>
        <v>0.2</v>
      </c>
      <c r="AI100" s="104">
        <f>IFERROR(ROUND((tblPiNHistorical[[#This Row],[Overarching Protection - new]]-tblPiNHistorical[[#This Row],[Overarching Protection - old]])/tblPiNHistorical[[#This Row],[Overarching Protection - old]], 1), "")</f>
        <v>1</v>
      </c>
      <c r="AJ100" s="104">
        <f>IFERROR(ROUND((tblPiNHistorical[[#This Row],[Shelter - new]]-tblPiNHistorical[[#This Row],[Shelter - old]])/tblPiNHistorical[[#This Row],[Shelter - old]], 1), "")</f>
        <v>0.4</v>
      </c>
      <c r="AK100" s="11">
        <f>IFERROR(ROUND((tblPiNHistorical[[#This Row],[WASH - new]]-tblPiNHistorical[[#This Row],[WASH - old]])/tblPiNHistorical[[#This Row],[WASH - old]], 1), "")</f>
        <v>0</v>
      </c>
    </row>
    <row r="101" spans="1:37" ht="17.649999999999999" customHeight="1" x14ac:dyDescent="0.25">
      <c r="A101" s="97" t="s">
        <v>349</v>
      </c>
      <c r="B101" s="65" t="s">
        <v>359</v>
      </c>
      <c r="C101" s="65" t="s">
        <v>210</v>
      </c>
      <c r="D101" s="40" t="s">
        <v>70</v>
      </c>
      <c r="E101" s="37">
        <v>123719</v>
      </c>
      <c r="F101" s="98">
        <v>0</v>
      </c>
      <c r="G101" s="99">
        <v>7446.7749563305151</v>
      </c>
      <c r="H101" s="99">
        <v>9233</v>
      </c>
      <c r="I101" s="99">
        <v>36957</v>
      </c>
      <c r="J101" s="99">
        <v>85537</v>
      </c>
      <c r="K101" s="99">
        <v>16023</v>
      </c>
      <c r="L101" s="100">
        <v>62802</v>
      </c>
      <c r="M101" s="113">
        <v>37624.355999999992</v>
      </c>
      <c r="N101" s="101">
        <v>12444</v>
      </c>
      <c r="O101" s="101">
        <v>17604</v>
      </c>
      <c r="P101" s="99">
        <v>11850</v>
      </c>
      <c r="Q101" s="99">
        <v>64429</v>
      </c>
      <c r="R101" s="99">
        <v>45894</v>
      </c>
      <c r="S101" s="99">
        <v>26979</v>
      </c>
      <c r="T101" s="99">
        <v>50332</v>
      </c>
      <c r="U101" s="99">
        <v>47607</v>
      </c>
      <c r="V101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101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10157.225043669485</v>
      </c>
      <c r="X101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2617</v>
      </c>
      <c r="Y101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27472</v>
      </c>
      <c r="Z101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-39643</v>
      </c>
      <c r="AA101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10956</v>
      </c>
      <c r="AB101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-12470</v>
      </c>
      <c r="AC101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9982.6440000000075</v>
      </c>
      <c r="AD101" s="115" t="str">
        <f>IFERROR(ROUND((tblPiNHistorical[[#This Row],[CCCM - new]] - tblPiNHistorical[[#This Row],[CCCM - old]])/tblPiNHistorical[[#This Row],[CCCM - old]], 1), "")</f>
        <v/>
      </c>
      <c r="AE101" s="104">
        <f>IFERROR(ROUND((tblPiNHistorical[[#This Row],[Education - new]]-tblPiNHistorical[[#This Row],[Education - old]])/tblPiNHistorical[[#This Row],[Education - old]], 1), "")</f>
        <v>1.4</v>
      </c>
      <c r="AF101" s="104">
        <f>IFERROR(ROUND((tblPiNHistorical[[#This Row],[Nutrition - new]]-tblPiNHistorical[[#This Row],[Nutrition - old]])/tblPiNHistorical[[#This Row],[Nutrition - old]], 1), "")</f>
        <v>0.3</v>
      </c>
      <c r="AG101" s="104">
        <f>IFERROR(ROUND((tblPiNHistorical[[#This Row],[Food Security - new]]-tblPiNHistorical[[#This Row],[Food Security - old]])/tblPiNHistorical[[#This Row],[Food Security - old]], 1), "")</f>
        <v>0.7</v>
      </c>
      <c r="AH101" s="104">
        <f>IFERROR(ROUND((tblPiNHistorical[[#This Row],[Health - new]]-tblPiNHistorical[[#This Row],[Health - old]])/tblPiNHistorical[[#This Row],[Health - old]], 1), "")</f>
        <v>-0.5</v>
      </c>
      <c r="AI101" s="104">
        <f>IFERROR(ROUND((tblPiNHistorical[[#This Row],[Overarching Protection - new]]-tblPiNHistorical[[#This Row],[Overarching Protection - old]])/tblPiNHistorical[[#This Row],[Overarching Protection - old]], 1), "")</f>
        <v>0.7</v>
      </c>
      <c r="AJ101" s="104">
        <f>IFERROR(ROUND((tblPiNHistorical[[#This Row],[Shelter - new]]-tblPiNHistorical[[#This Row],[Shelter - old]])/tblPiNHistorical[[#This Row],[Shelter - old]], 1), "")</f>
        <v>-0.2</v>
      </c>
      <c r="AK101" s="11">
        <f>IFERROR(ROUND((tblPiNHistorical[[#This Row],[WASH - new]]-tblPiNHistorical[[#This Row],[WASH - old]])/tblPiNHistorical[[#This Row],[WASH - old]], 1), "")</f>
        <v>0.3</v>
      </c>
    </row>
    <row r="102" spans="1:37" ht="17.649999999999999" customHeight="1" x14ac:dyDescent="0.25">
      <c r="A102" s="97" t="s">
        <v>349</v>
      </c>
      <c r="B102" s="65" t="s">
        <v>359</v>
      </c>
      <c r="C102" s="65" t="s">
        <v>326</v>
      </c>
      <c r="D102" s="40" t="s">
        <v>186</v>
      </c>
      <c r="E102" s="37">
        <v>80295</v>
      </c>
      <c r="F102" s="98">
        <v>0</v>
      </c>
      <c r="G102" s="99">
        <v>2041.2818523632566</v>
      </c>
      <c r="H102" s="99">
        <v>5752</v>
      </c>
      <c r="I102" s="99">
        <v>25969</v>
      </c>
      <c r="J102" s="99">
        <v>17594</v>
      </c>
      <c r="K102" s="99">
        <v>4910</v>
      </c>
      <c r="L102" s="100">
        <v>21588</v>
      </c>
      <c r="M102" s="113">
        <v>18522.107999999997</v>
      </c>
      <c r="N102" s="101">
        <v>11102</v>
      </c>
      <c r="O102" s="101">
        <v>12149</v>
      </c>
      <c r="P102" s="99">
        <v>6570</v>
      </c>
      <c r="Q102" s="99">
        <v>38901</v>
      </c>
      <c r="R102" s="99">
        <v>34199</v>
      </c>
      <c r="S102" s="99">
        <v>10656</v>
      </c>
      <c r="T102" s="99">
        <v>35000</v>
      </c>
      <c r="U102" s="99">
        <v>31747</v>
      </c>
      <c r="V102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102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10107.718147636744</v>
      </c>
      <c r="X102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818</v>
      </c>
      <c r="Y102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12932</v>
      </c>
      <c r="Z102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16605</v>
      </c>
      <c r="AA102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5746</v>
      </c>
      <c r="AB102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13412</v>
      </c>
      <c r="AC102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13224.892000000003</v>
      </c>
      <c r="AD102" s="115" t="str">
        <f>IFERROR(ROUND((tblPiNHistorical[[#This Row],[CCCM - new]] - tblPiNHistorical[[#This Row],[CCCM - old]])/tblPiNHistorical[[#This Row],[CCCM - old]], 1), "")</f>
        <v/>
      </c>
      <c r="AE102" s="104">
        <f>IFERROR(ROUND((tblPiNHistorical[[#This Row],[Education - new]]-tblPiNHistorical[[#This Row],[Education - old]])/tblPiNHistorical[[#This Row],[Education - old]], 1), "")</f>
        <v>5</v>
      </c>
      <c r="AF102" s="104">
        <f>IFERROR(ROUND((tblPiNHistorical[[#This Row],[Nutrition - new]]-tblPiNHistorical[[#This Row],[Nutrition - old]])/tblPiNHistorical[[#This Row],[Nutrition - old]], 1), "")</f>
        <v>0.1</v>
      </c>
      <c r="AG102" s="104">
        <f>IFERROR(ROUND((tblPiNHistorical[[#This Row],[Food Security - new]]-tblPiNHistorical[[#This Row],[Food Security - old]])/tblPiNHistorical[[#This Row],[Food Security - old]], 1), "")</f>
        <v>0.5</v>
      </c>
      <c r="AH102" s="104">
        <f>IFERROR(ROUND((tblPiNHistorical[[#This Row],[Health - new]]-tblPiNHistorical[[#This Row],[Health - old]])/tblPiNHistorical[[#This Row],[Health - old]], 1), "")</f>
        <v>0.9</v>
      </c>
      <c r="AI102" s="104">
        <f>IFERROR(ROUND((tblPiNHistorical[[#This Row],[Overarching Protection - new]]-tblPiNHistorical[[#This Row],[Overarching Protection - old]])/tblPiNHistorical[[#This Row],[Overarching Protection - old]], 1), "")</f>
        <v>1.2</v>
      </c>
      <c r="AJ102" s="104">
        <f>IFERROR(ROUND((tblPiNHistorical[[#This Row],[Shelter - new]]-tblPiNHistorical[[#This Row],[Shelter - old]])/tblPiNHistorical[[#This Row],[Shelter - old]], 1), "")</f>
        <v>0.6</v>
      </c>
      <c r="AK102" s="11">
        <f>IFERROR(ROUND((tblPiNHistorical[[#This Row],[WASH - new]]-tblPiNHistorical[[#This Row],[WASH - old]])/tblPiNHistorical[[#This Row],[WASH - old]], 1), "")</f>
        <v>0.7</v>
      </c>
    </row>
    <row r="103" spans="1:37" ht="17.649999999999999" customHeight="1" x14ac:dyDescent="0.25">
      <c r="A103" s="97" t="s">
        <v>349</v>
      </c>
      <c r="B103" s="65" t="s">
        <v>359</v>
      </c>
      <c r="C103" s="65" t="s">
        <v>234</v>
      </c>
      <c r="D103" s="40" t="s">
        <v>94</v>
      </c>
      <c r="E103" s="37">
        <v>63397</v>
      </c>
      <c r="F103" s="98">
        <v>0</v>
      </c>
      <c r="G103" s="99">
        <v>2528.9846873355568</v>
      </c>
      <c r="H103" s="99">
        <v>4314</v>
      </c>
      <c r="I103" s="99">
        <v>19475</v>
      </c>
      <c r="J103" s="99">
        <v>245</v>
      </c>
      <c r="K103" s="99">
        <v>5463</v>
      </c>
      <c r="L103" s="100">
        <v>24145</v>
      </c>
      <c r="M103" s="113">
        <v>28316.290200000003</v>
      </c>
      <c r="N103" s="101">
        <v>13028</v>
      </c>
      <c r="O103" s="101">
        <v>6542</v>
      </c>
      <c r="P103" s="99">
        <v>5606</v>
      </c>
      <c r="Q103" s="99">
        <v>29172</v>
      </c>
      <c r="R103" s="99">
        <v>33476</v>
      </c>
      <c r="S103" s="99">
        <v>11840</v>
      </c>
      <c r="T103" s="99">
        <v>41034</v>
      </c>
      <c r="U103" s="99">
        <v>32060</v>
      </c>
      <c r="V103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103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4013.0153126644432</v>
      </c>
      <c r="X103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1292</v>
      </c>
      <c r="Y103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9697</v>
      </c>
      <c r="Z103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33231</v>
      </c>
      <c r="AA103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6377</v>
      </c>
      <c r="AB103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16889</v>
      </c>
      <c r="AC103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3743.7097999999969</v>
      </c>
      <c r="AD103" s="115" t="str">
        <f>IFERROR(ROUND((tblPiNHistorical[[#This Row],[CCCM - new]] - tblPiNHistorical[[#This Row],[CCCM - old]])/tblPiNHistorical[[#This Row],[CCCM - old]], 1), "")</f>
        <v/>
      </c>
      <c r="AE103" s="104">
        <f>IFERROR(ROUND((tblPiNHistorical[[#This Row],[Education - new]]-tblPiNHistorical[[#This Row],[Education - old]])/tblPiNHistorical[[#This Row],[Education - old]], 1), "")</f>
        <v>1.6</v>
      </c>
      <c r="AF103" s="104">
        <f>IFERROR(ROUND((tblPiNHistorical[[#This Row],[Nutrition - new]]-tblPiNHistorical[[#This Row],[Nutrition - old]])/tblPiNHistorical[[#This Row],[Nutrition - old]], 1), "")</f>
        <v>0.3</v>
      </c>
      <c r="AG103" s="104">
        <f>IFERROR(ROUND((tblPiNHistorical[[#This Row],[Food Security - new]]-tblPiNHistorical[[#This Row],[Food Security - old]])/tblPiNHistorical[[#This Row],[Food Security - old]], 1), "")</f>
        <v>0.5</v>
      </c>
      <c r="AH103" s="104">
        <f>IFERROR(ROUND((tblPiNHistorical[[#This Row],[Health - new]]-tblPiNHistorical[[#This Row],[Health - old]])/tblPiNHistorical[[#This Row],[Health - old]], 1), "")</f>
        <v>135.6</v>
      </c>
      <c r="AI103" s="104">
        <f>IFERROR(ROUND((tblPiNHistorical[[#This Row],[Overarching Protection - new]]-tblPiNHistorical[[#This Row],[Overarching Protection - old]])/tblPiNHistorical[[#This Row],[Overarching Protection - old]], 1), "")</f>
        <v>1.2</v>
      </c>
      <c r="AJ103" s="104">
        <f>IFERROR(ROUND((tblPiNHistorical[[#This Row],[Shelter - new]]-tblPiNHistorical[[#This Row],[Shelter - old]])/tblPiNHistorical[[#This Row],[Shelter - old]], 1), "")</f>
        <v>0.7</v>
      </c>
      <c r="AK103" s="11">
        <f>IFERROR(ROUND((tblPiNHistorical[[#This Row],[WASH - new]]-tblPiNHistorical[[#This Row],[WASH - old]])/tblPiNHistorical[[#This Row],[WASH - old]], 1), "")</f>
        <v>0.1</v>
      </c>
    </row>
    <row r="104" spans="1:37" ht="17.649999999999999" customHeight="1" x14ac:dyDescent="0.25">
      <c r="A104" s="97" t="s">
        <v>349</v>
      </c>
      <c r="B104" s="65" t="s">
        <v>359</v>
      </c>
      <c r="C104" s="65" t="s">
        <v>245</v>
      </c>
      <c r="D104" s="40" t="s">
        <v>105</v>
      </c>
      <c r="E104" s="37">
        <v>25395</v>
      </c>
      <c r="F104" s="98">
        <v>0</v>
      </c>
      <c r="G104" s="99">
        <v>764.91879987109655</v>
      </c>
      <c r="H104" s="99">
        <v>1887</v>
      </c>
      <c r="I104" s="99">
        <v>10651</v>
      </c>
      <c r="J104" s="99">
        <v>7637</v>
      </c>
      <c r="K104" s="99">
        <v>1774</v>
      </c>
      <c r="L104" s="100">
        <v>7011</v>
      </c>
      <c r="M104" s="113">
        <v>9639.85</v>
      </c>
      <c r="N104" s="101">
        <v>2234</v>
      </c>
      <c r="O104" s="101">
        <v>2844</v>
      </c>
      <c r="P104" s="99">
        <v>2116</v>
      </c>
      <c r="Q104" s="99">
        <v>10443</v>
      </c>
      <c r="R104" s="99">
        <v>8896</v>
      </c>
      <c r="S104" s="99">
        <v>2783</v>
      </c>
      <c r="T104" s="99">
        <v>11953</v>
      </c>
      <c r="U104" s="99">
        <v>7068</v>
      </c>
      <c r="V104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104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2079.0812001289032</v>
      </c>
      <c r="X104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229</v>
      </c>
      <c r="Y104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-208</v>
      </c>
      <c r="Z104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1259</v>
      </c>
      <c r="AA104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1009</v>
      </c>
      <c r="AB104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4942</v>
      </c>
      <c r="AC104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-2571.8500000000004</v>
      </c>
      <c r="AD104" s="115" t="str">
        <f>IFERROR(ROUND((tblPiNHistorical[[#This Row],[CCCM - new]] - tblPiNHistorical[[#This Row],[CCCM - old]])/tblPiNHistorical[[#This Row],[CCCM - old]], 1), "")</f>
        <v/>
      </c>
      <c r="AE104" s="104">
        <f>IFERROR(ROUND((tblPiNHistorical[[#This Row],[Education - new]]-tblPiNHistorical[[#This Row],[Education - old]])/tblPiNHistorical[[#This Row],[Education - old]], 1), "")</f>
        <v>2.7</v>
      </c>
      <c r="AF104" s="104">
        <f>IFERROR(ROUND((tblPiNHistorical[[#This Row],[Nutrition - new]]-tblPiNHistorical[[#This Row],[Nutrition - old]])/tblPiNHistorical[[#This Row],[Nutrition - old]], 1), "")</f>
        <v>0.1</v>
      </c>
      <c r="AG104" s="104">
        <f>IFERROR(ROUND((tblPiNHistorical[[#This Row],[Food Security - new]]-tblPiNHistorical[[#This Row],[Food Security - old]])/tblPiNHistorical[[#This Row],[Food Security - old]], 1), "")</f>
        <v>0</v>
      </c>
      <c r="AH104" s="104">
        <f>IFERROR(ROUND((tblPiNHistorical[[#This Row],[Health - new]]-tblPiNHistorical[[#This Row],[Health - old]])/tblPiNHistorical[[#This Row],[Health - old]], 1), "")</f>
        <v>0.2</v>
      </c>
      <c r="AI104" s="104">
        <f>IFERROR(ROUND((tblPiNHistorical[[#This Row],[Overarching Protection - new]]-tblPiNHistorical[[#This Row],[Overarching Protection - old]])/tblPiNHistorical[[#This Row],[Overarching Protection - old]], 1), "")</f>
        <v>0.6</v>
      </c>
      <c r="AJ104" s="104">
        <f>IFERROR(ROUND((tblPiNHistorical[[#This Row],[Shelter - new]]-tblPiNHistorical[[#This Row],[Shelter - old]])/tblPiNHistorical[[#This Row],[Shelter - old]], 1), "")</f>
        <v>0.7</v>
      </c>
      <c r="AK104" s="11">
        <f>IFERROR(ROUND((tblPiNHistorical[[#This Row],[WASH - new]]-tblPiNHistorical[[#This Row],[WASH - old]])/tblPiNHistorical[[#This Row],[WASH - old]], 1), "")</f>
        <v>-0.3</v>
      </c>
    </row>
    <row r="105" spans="1:37" ht="17.649999999999999" customHeight="1" x14ac:dyDescent="0.25">
      <c r="A105" s="97" t="s">
        <v>349</v>
      </c>
      <c r="B105" s="65" t="s">
        <v>359</v>
      </c>
      <c r="C105" s="65" t="s">
        <v>312</v>
      </c>
      <c r="D105" s="40" t="s">
        <v>172</v>
      </c>
      <c r="E105" s="37">
        <v>26647</v>
      </c>
      <c r="F105" s="98">
        <v>0</v>
      </c>
      <c r="G105" s="99">
        <v>464.26691350651708</v>
      </c>
      <c r="H105" s="99">
        <v>1677</v>
      </c>
      <c r="I105" s="99">
        <v>8808</v>
      </c>
      <c r="J105" s="99">
        <v>3112</v>
      </c>
      <c r="K105" s="99">
        <v>1392</v>
      </c>
      <c r="L105" s="100">
        <v>0</v>
      </c>
      <c r="M105" s="113">
        <v>1382.94</v>
      </c>
      <c r="N105" s="101">
        <v>8027</v>
      </c>
      <c r="O105" s="101">
        <v>982</v>
      </c>
      <c r="P105" s="99">
        <v>2134</v>
      </c>
      <c r="Q105" s="99">
        <v>7537</v>
      </c>
      <c r="R105" s="99">
        <v>18671</v>
      </c>
      <c r="S105" s="99">
        <v>4559</v>
      </c>
      <c r="T105" s="99">
        <v>13749</v>
      </c>
      <c r="U105" s="99">
        <v>17201</v>
      </c>
      <c r="V105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105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517.73308649348292</v>
      </c>
      <c r="X105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457</v>
      </c>
      <c r="Y105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-1271</v>
      </c>
      <c r="Z105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15559</v>
      </c>
      <c r="AA105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3167</v>
      </c>
      <c r="AB105" s="103" t="str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/>
      </c>
      <c r="AC105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15818.06</v>
      </c>
      <c r="AD105" s="115" t="str">
        <f>IFERROR(ROUND((tblPiNHistorical[[#This Row],[CCCM - new]] - tblPiNHistorical[[#This Row],[CCCM - old]])/tblPiNHistorical[[#This Row],[CCCM - old]], 1), "")</f>
        <v/>
      </c>
      <c r="AE105" s="104">
        <f>IFERROR(ROUND((tblPiNHistorical[[#This Row],[Education - new]]-tblPiNHistorical[[#This Row],[Education - old]])/tblPiNHistorical[[#This Row],[Education - old]], 1), "")</f>
        <v>1.1000000000000001</v>
      </c>
      <c r="AF105" s="104">
        <f>IFERROR(ROUND((tblPiNHistorical[[#This Row],[Nutrition - new]]-tblPiNHistorical[[#This Row],[Nutrition - old]])/tblPiNHistorical[[#This Row],[Nutrition - old]], 1), "")</f>
        <v>0.3</v>
      </c>
      <c r="AG105" s="104">
        <f>IFERROR(ROUND((tblPiNHistorical[[#This Row],[Food Security - new]]-tblPiNHistorical[[#This Row],[Food Security - old]])/tblPiNHistorical[[#This Row],[Food Security - old]], 1), "")</f>
        <v>-0.1</v>
      </c>
      <c r="AH105" s="104">
        <f>IFERROR(ROUND((tblPiNHistorical[[#This Row],[Health - new]]-tblPiNHistorical[[#This Row],[Health - old]])/tblPiNHistorical[[#This Row],[Health - old]], 1), "")</f>
        <v>5</v>
      </c>
      <c r="AI105" s="104">
        <f>IFERROR(ROUND((tblPiNHistorical[[#This Row],[Overarching Protection - new]]-tblPiNHistorical[[#This Row],[Overarching Protection - old]])/tblPiNHistorical[[#This Row],[Overarching Protection - old]], 1), "")</f>
        <v>2.2999999999999998</v>
      </c>
      <c r="AJ105" s="104" t="str">
        <f>IFERROR(ROUND((tblPiNHistorical[[#This Row],[Shelter - new]]-tblPiNHistorical[[#This Row],[Shelter - old]])/tblPiNHistorical[[#This Row],[Shelter - old]], 1), "")</f>
        <v/>
      </c>
      <c r="AK105" s="11">
        <f>IFERROR(ROUND((tblPiNHistorical[[#This Row],[WASH - new]]-tblPiNHistorical[[#This Row],[WASH - old]])/tblPiNHistorical[[#This Row],[WASH - old]], 1), "")</f>
        <v>11.4</v>
      </c>
    </row>
    <row r="106" spans="1:37" ht="17.649999999999999" customHeight="1" x14ac:dyDescent="0.25">
      <c r="A106" s="97" t="s">
        <v>349</v>
      </c>
      <c r="B106" s="65" t="s">
        <v>359</v>
      </c>
      <c r="C106" s="65" t="s">
        <v>319</v>
      </c>
      <c r="D106" s="40" t="s">
        <v>179</v>
      </c>
      <c r="E106" s="37">
        <v>28335</v>
      </c>
      <c r="F106" s="98">
        <v>0</v>
      </c>
      <c r="G106" s="99">
        <v>707.13637897594447</v>
      </c>
      <c r="H106" s="99">
        <v>1630</v>
      </c>
      <c r="I106" s="99">
        <v>9197</v>
      </c>
      <c r="J106" s="99">
        <v>5277</v>
      </c>
      <c r="K106" s="99">
        <v>1762</v>
      </c>
      <c r="L106" s="100">
        <v>8102</v>
      </c>
      <c r="M106" s="113">
        <v>7129.32</v>
      </c>
      <c r="N106" s="101">
        <v>11394</v>
      </c>
      <c r="O106" s="101">
        <v>3315</v>
      </c>
      <c r="P106" s="99">
        <v>2385</v>
      </c>
      <c r="Q106" s="99">
        <v>9017</v>
      </c>
      <c r="R106" s="99">
        <v>23103</v>
      </c>
      <c r="S106" s="99">
        <v>4260</v>
      </c>
      <c r="T106" s="99">
        <v>10370</v>
      </c>
      <c r="U106" s="99">
        <v>24498</v>
      </c>
      <c r="V106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106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2607.8636210240556</v>
      </c>
      <c r="X106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755</v>
      </c>
      <c r="Y106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-180</v>
      </c>
      <c r="Z106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17826</v>
      </c>
      <c r="AA106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2498</v>
      </c>
      <c r="AB106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2268</v>
      </c>
      <c r="AC106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17368.68</v>
      </c>
      <c r="AD106" s="115" t="str">
        <f>IFERROR(ROUND((tblPiNHistorical[[#This Row],[CCCM - new]] - tblPiNHistorical[[#This Row],[CCCM - old]])/tblPiNHistorical[[#This Row],[CCCM - old]], 1), "")</f>
        <v/>
      </c>
      <c r="AE106" s="104">
        <f>IFERROR(ROUND((tblPiNHistorical[[#This Row],[Education - new]]-tblPiNHistorical[[#This Row],[Education - old]])/tblPiNHistorical[[#This Row],[Education - old]], 1), "")</f>
        <v>3.7</v>
      </c>
      <c r="AF106" s="104">
        <f>IFERROR(ROUND((tblPiNHistorical[[#This Row],[Nutrition - new]]-tblPiNHistorical[[#This Row],[Nutrition - old]])/tblPiNHistorical[[#This Row],[Nutrition - old]], 1), "")</f>
        <v>0.5</v>
      </c>
      <c r="AG106" s="104">
        <f>IFERROR(ROUND((tblPiNHistorical[[#This Row],[Food Security - new]]-tblPiNHistorical[[#This Row],[Food Security - old]])/tblPiNHistorical[[#This Row],[Food Security - old]], 1), "")</f>
        <v>0</v>
      </c>
      <c r="AH106" s="104">
        <f>IFERROR(ROUND((tblPiNHistorical[[#This Row],[Health - new]]-tblPiNHistorical[[#This Row],[Health - old]])/tblPiNHistorical[[#This Row],[Health - old]], 1), "")</f>
        <v>3.4</v>
      </c>
      <c r="AI106" s="104">
        <f>IFERROR(ROUND((tblPiNHistorical[[#This Row],[Overarching Protection - new]]-tblPiNHistorical[[#This Row],[Overarching Protection - old]])/tblPiNHistorical[[#This Row],[Overarching Protection - old]], 1), "")</f>
        <v>1.4</v>
      </c>
      <c r="AJ106" s="104">
        <f>IFERROR(ROUND((tblPiNHistorical[[#This Row],[Shelter - new]]-tblPiNHistorical[[#This Row],[Shelter - old]])/tblPiNHistorical[[#This Row],[Shelter - old]], 1), "")</f>
        <v>0.3</v>
      </c>
      <c r="AK106" s="11">
        <f>IFERROR(ROUND((tblPiNHistorical[[#This Row],[WASH - new]]-tblPiNHistorical[[#This Row],[WASH - old]])/tblPiNHistorical[[#This Row],[WASH - old]], 1), "")</f>
        <v>2.4</v>
      </c>
    </row>
    <row r="107" spans="1:37" ht="17.649999999999999" customHeight="1" x14ac:dyDescent="0.25">
      <c r="A107" s="97" t="s">
        <v>349</v>
      </c>
      <c r="B107" s="65" t="s">
        <v>359</v>
      </c>
      <c r="C107" s="65" t="s">
        <v>241</v>
      </c>
      <c r="D107" s="40" t="s">
        <v>101</v>
      </c>
      <c r="E107" s="37">
        <v>32835</v>
      </c>
      <c r="F107" s="98">
        <v>0</v>
      </c>
      <c r="G107" s="99">
        <v>787.48187509979277</v>
      </c>
      <c r="H107" s="99">
        <v>2236</v>
      </c>
      <c r="I107" s="99">
        <v>11652</v>
      </c>
      <c r="J107" s="99">
        <v>7288</v>
      </c>
      <c r="K107" s="99">
        <v>1979</v>
      </c>
      <c r="L107" s="100">
        <v>9022</v>
      </c>
      <c r="M107" s="113">
        <v>9022</v>
      </c>
      <c r="N107" s="101">
        <v>6705</v>
      </c>
      <c r="O107" s="101">
        <v>3702</v>
      </c>
      <c r="P107" s="99">
        <v>2687</v>
      </c>
      <c r="Q107" s="99">
        <v>13428</v>
      </c>
      <c r="R107" s="99">
        <v>17451</v>
      </c>
      <c r="S107" s="99">
        <v>4946</v>
      </c>
      <c r="T107" s="99">
        <v>14183</v>
      </c>
      <c r="U107" s="99">
        <v>15400</v>
      </c>
      <c r="V107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107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2914.5181249002071</v>
      </c>
      <c r="X107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451</v>
      </c>
      <c r="Y107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1776</v>
      </c>
      <c r="Z107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10163</v>
      </c>
      <c r="AA107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2967</v>
      </c>
      <c r="AB107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5161</v>
      </c>
      <c r="AC107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6378</v>
      </c>
      <c r="AD107" s="115" t="str">
        <f>IFERROR(ROUND((tblPiNHistorical[[#This Row],[CCCM - new]] - tblPiNHistorical[[#This Row],[CCCM - old]])/tblPiNHistorical[[#This Row],[CCCM - old]], 1), "")</f>
        <v/>
      </c>
      <c r="AE107" s="104">
        <f>IFERROR(ROUND((tblPiNHistorical[[#This Row],[Education - new]]-tblPiNHistorical[[#This Row],[Education - old]])/tblPiNHistorical[[#This Row],[Education - old]], 1), "")</f>
        <v>3.7</v>
      </c>
      <c r="AF107" s="104">
        <f>IFERROR(ROUND((tblPiNHistorical[[#This Row],[Nutrition - new]]-tblPiNHistorical[[#This Row],[Nutrition - old]])/tblPiNHistorical[[#This Row],[Nutrition - old]], 1), "")</f>
        <v>0.2</v>
      </c>
      <c r="AG107" s="104">
        <f>IFERROR(ROUND((tblPiNHistorical[[#This Row],[Food Security - new]]-tblPiNHistorical[[#This Row],[Food Security - old]])/tblPiNHistorical[[#This Row],[Food Security - old]], 1), "")</f>
        <v>0.2</v>
      </c>
      <c r="AH107" s="104">
        <f>IFERROR(ROUND((tblPiNHistorical[[#This Row],[Health - new]]-tblPiNHistorical[[#This Row],[Health - old]])/tblPiNHistorical[[#This Row],[Health - old]], 1), "")</f>
        <v>1.4</v>
      </c>
      <c r="AI107" s="104">
        <f>IFERROR(ROUND((tblPiNHistorical[[#This Row],[Overarching Protection - new]]-tblPiNHistorical[[#This Row],[Overarching Protection - old]])/tblPiNHistorical[[#This Row],[Overarching Protection - old]], 1), "")</f>
        <v>1.5</v>
      </c>
      <c r="AJ107" s="104">
        <f>IFERROR(ROUND((tblPiNHistorical[[#This Row],[Shelter - new]]-tblPiNHistorical[[#This Row],[Shelter - old]])/tblPiNHistorical[[#This Row],[Shelter - old]], 1), "")</f>
        <v>0.6</v>
      </c>
      <c r="AK107" s="11">
        <f>IFERROR(ROUND((tblPiNHistorical[[#This Row],[WASH - new]]-tblPiNHistorical[[#This Row],[WASH - old]])/tblPiNHistorical[[#This Row],[WASH - old]], 1), "")</f>
        <v>0.7</v>
      </c>
    </row>
    <row r="108" spans="1:37" ht="17.649999999999999" customHeight="1" x14ac:dyDescent="0.25">
      <c r="A108" s="97" t="s">
        <v>349</v>
      </c>
      <c r="B108" s="65" t="s">
        <v>359</v>
      </c>
      <c r="C108" s="65" t="s">
        <v>281</v>
      </c>
      <c r="D108" s="40" t="s">
        <v>141</v>
      </c>
      <c r="E108" s="37">
        <v>39577</v>
      </c>
      <c r="F108" s="98">
        <v>0</v>
      </c>
      <c r="G108" s="99">
        <v>974.14004290082426</v>
      </c>
      <c r="H108" s="99">
        <v>2648</v>
      </c>
      <c r="I108" s="99">
        <v>14946</v>
      </c>
      <c r="J108" s="99">
        <v>10473</v>
      </c>
      <c r="K108" s="99">
        <v>2410</v>
      </c>
      <c r="L108" s="100">
        <v>10363</v>
      </c>
      <c r="M108" s="113">
        <v>9162.7704999999987</v>
      </c>
      <c r="N108" s="101">
        <v>8966</v>
      </c>
      <c r="O108" s="101">
        <v>4396</v>
      </c>
      <c r="P108" s="99">
        <v>3258</v>
      </c>
      <c r="Q108" s="99">
        <v>14654</v>
      </c>
      <c r="R108" s="99">
        <v>21987</v>
      </c>
      <c r="S108" s="99">
        <v>4950</v>
      </c>
      <c r="T108" s="99">
        <v>5977</v>
      </c>
      <c r="U108" s="99">
        <v>20431</v>
      </c>
      <c r="V108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108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3421.8599570991755</v>
      </c>
      <c r="X108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610</v>
      </c>
      <c r="Y108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-292</v>
      </c>
      <c r="Z108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11514</v>
      </c>
      <c r="AA108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2540</v>
      </c>
      <c r="AB108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-4386</v>
      </c>
      <c r="AC108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11268.229500000001</v>
      </c>
      <c r="AD108" s="115" t="str">
        <f>IFERROR(ROUND((tblPiNHistorical[[#This Row],[CCCM - new]] - tblPiNHistorical[[#This Row],[CCCM - old]])/tblPiNHistorical[[#This Row],[CCCM - old]], 1), "")</f>
        <v/>
      </c>
      <c r="AE108" s="104">
        <f>IFERROR(ROUND((tblPiNHistorical[[#This Row],[Education - new]]-tblPiNHistorical[[#This Row],[Education - old]])/tblPiNHistorical[[#This Row],[Education - old]], 1), "")</f>
        <v>3.5</v>
      </c>
      <c r="AF108" s="104">
        <f>IFERROR(ROUND((tblPiNHistorical[[#This Row],[Nutrition - new]]-tblPiNHistorical[[#This Row],[Nutrition - old]])/tblPiNHistorical[[#This Row],[Nutrition - old]], 1), "")</f>
        <v>0.2</v>
      </c>
      <c r="AG108" s="104">
        <f>IFERROR(ROUND((tblPiNHistorical[[#This Row],[Food Security - new]]-tblPiNHistorical[[#This Row],[Food Security - old]])/tblPiNHistorical[[#This Row],[Food Security - old]], 1), "")</f>
        <v>0</v>
      </c>
      <c r="AH108" s="104">
        <f>IFERROR(ROUND((tblPiNHistorical[[#This Row],[Health - new]]-tblPiNHistorical[[#This Row],[Health - old]])/tblPiNHistorical[[#This Row],[Health - old]], 1), "")</f>
        <v>1.1000000000000001</v>
      </c>
      <c r="AI108" s="104">
        <f>IFERROR(ROUND((tblPiNHistorical[[#This Row],[Overarching Protection - new]]-tblPiNHistorical[[#This Row],[Overarching Protection - old]])/tblPiNHistorical[[#This Row],[Overarching Protection - old]], 1), "")</f>
        <v>1.1000000000000001</v>
      </c>
      <c r="AJ108" s="104">
        <f>IFERROR(ROUND((tblPiNHistorical[[#This Row],[Shelter - new]]-tblPiNHistorical[[#This Row],[Shelter - old]])/tblPiNHistorical[[#This Row],[Shelter - old]], 1), "")</f>
        <v>-0.4</v>
      </c>
      <c r="AK108" s="11">
        <f>IFERROR(ROUND((tblPiNHistorical[[#This Row],[WASH - new]]-tblPiNHistorical[[#This Row],[WASH - old]])/tblPiNHistorical[[#This Row],[WASH - old]], 1), "")</f>
        <v>1.2</v>
      </c>
    </row>
    <row r="109" spans="1:37" ht="17.649999999999999" customHeight="1" x14ac:dyDescent="0.25">
      <c r="A109" s="97" t="s">
        <v>349</v>
      </c>
      <c r="B109" s="65" t="s">
        <v>359</v>
      </c>
      <c r="C109" s="65" t="s">
        <v>337</v>
      </c>
      <c r="D109" s="40" t="s">
        <v>197</v>
      </c>
      <c r="E109" s="37">
        <v>28474</v>
      </c>
      <c r="F109" s="98">
        <v>0</v>
      </c>
      <c r="G109" s="99">
        <v>666.3308173921323</v>
      </c>
      <c r="H109" s="99">
        <v>2062</v>
      </c>
      <c r="I109" s="99">
        <v>11640</v>
      </c>
      <c r="J109" s="99">
        <v>5609</v>
      </c>
      <c r="K109" s="99">
        <v>1607</v>
      </c>
      <c r="L109" s="100">
        <v>0</v>
      </c>
      <c r="M109" s="113">
        <v>1984.8400000000001</v>
      </c>
      <c r="N109" s="101">
        <v>3513</v>
      </c>
      <c r="O109" s="101">
        <v>3092</v>
      </c>
      <c r="P109" s="99">
        <v>2303</v>
      </c>
      <c r="Q109" s="99">
        <v>11412</v>
      </c>
      <c r="R109" s="99">
        <v>21446</v>
      </c>
      <c r="S109" s="99">
        <v>2308</v>
      </c>
      <c r="T109" s="99">
        <v>15000</v>
      </c>
      <c r="U109" s="99">
        <v>8807</v>
      </c>
      <c r="V109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109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2425.6691826078677</v>
      </c>
      <c r="X109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241</v>
      </c>
      <c r="Y109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-228</v>
      </c>
      <c r="Z109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15837</v>
      </c>
      <c r="AA109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701</v>
      </c>
      <c r="AB109" s="103" t="str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/>
      </c>
      <c r="AC109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6822.16</v>
      </c>
      <c r="AD109" s="115" t="str">
        <f>IFERROR(ROUND((tblPiNHistorical[[#This Row],[CCCM - new]] - tblPiNHistorical[[#This Row],[CCCM - old]])/tblPiNHistorical[[#This Row],[CCCM - old]], 1), "")</f>
        <v/>
      </c>
      <c r="AE109" s="104">
        <f>IFERROR(ROUND((tblPiNHistorical[[#This Row],[Education - new]]-tblPiNHistorical[[#This Row],[Education - old]])/tblPiNHistorical[[#This Row],[Education - old]], 1), "")</f>
        <v>3.6</v>
      </c>
      <c r="AF109" s="104">
        <f>IFERROR(ROUND((tblPiNHistorical[[#This Row],[Nutrition - new]]-tblPiNHistorical[[#This Row],[Nutrition - old]])/tblPiNHistorical[[#This Row],[Nutrition - old]], 1), "")</f>
        <v>0.1</v>
      </c>
      <c r="AG109" s="104">
        <f>IFERROR(ROUND((tblPiNHistorical[[#This Row],[Food Security - new]]-tblPiNHistorical[[#This Row],[Food Security - old]])/tblPiNHistorical[[#This Row],[Food Security - old]], 1), "")</f>
        <v>0</v>
      </c>
      <c r="AH109" s="104">
        <f>IFERROR(ROUND((tblPiNHistorical[[#This Row],[Health - new]]-tblPiNHistorical[[#This Row],[Health - old]])/tblPiNHistorical[[#This Row],[Health - old]], 1), "")</f>
        <v>2.8</v>
      </c>
      <c r="AI109" s="104">
        <f>IFERROR(ROUND((tblPiNHistorical[[#This Row],[Overarching Protection - new]]-tblPiNHistorical[[#This Row],[Overarching Protection - old]])/tblPiNHistorical[[#This Row],[Overarching Protection - old]], 1), "")</f>
        <v>0.4</v>
      </c>
      <c r="AJ109" s="104" t="str">
        <f>IFERROR(ROUND((tblPiNHistorical[[#This Row],[Shelter - new]]-tblPiNHistorical[[#This Row],[Shelter - old]])/tblPiNHistorical[[#This Row],[Shelter - old]], 1), "")</f>
        <v/>
      </c>
      <c r="AK109" s="11">
        <f>IFERROR(ROUND((tblPiNHistorical[[#This Row],[WASH - new]]-tblPiNHistorical[[#This Row],[WASH - old]])/tblPiNHistorical[[#This Row],[WASH - old]], 1), "")</f>
        <v>3.4</v>
      </c>
    </row>
    <row r="110" spans="1:37" ht="17.649999999999999" customHeight="1" x14ac:dyDescent="0.25">
      <c r="A110" s="97" t="s">
        <v>342</v>
      </c>
      <c r="B110" s="65" t="s">
        <v>352</v>
      </c>
      <c r="C110" s="65" t="s">
        <v>271</v>
      </c>
      <c r="D110" s="40" t="s">
        <v>131</v>
      </c>
      <c r="E110" s="37">
        <v>155299</v>
      </c>
      <c r="F110" s="98">
        <v>0</v>
      </c>
      <c r="G110" s="99">
        <v>7099.2425362844097</v>
      </c>
      <c r="H110" s="99">
        <v>8313</v>
      </c>
      <c r="I110" s="99">
        <v>72486</v>
      </c>
      <c r="J110" s="99">
        <v>15361</v>
      </c>
      <c r="K110" s="99">
        <v>13545</v>
      </c>
      <c r="L110" s="100">
        <v>69827</v>
      </c>
      <c r="M110" s="113">
        <v>27297.073200000003</v>
      </c>
      <c r="N110" s="101">
        <v>28808</v>
      </c>
      <c r="O110" s="101">
        <v>17671</v>
      </c>
      <c r="P110" s="99">
        <v>12977</v>
      </c>
      <c r="Q110" s="99">
        <v>99595</v>
      </c>
      <c r="R110" s="99">
        <v>78424</v>
      </c>
      <c r="S110" s="99">
        <v>28837</v>
      </c>
      <c r="T110" s="99">
        <v>70344</v>
      </c>
      <c r="U110" s="99">
        <v>78324</v>
      </c>
      <c r="V110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110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10571.75746371559</v>
      </c>
      <c r="X110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4664</v>
      </c>
      <c r="Y110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27109</v>
      </c>
      <c r="Z110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63063</v>
      </c>
      <c r="AA110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15292</v>
      </c>
      <c r="AB110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517</v>
      </c>
      <c r="AC110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51026.926800000001</v>
      </c>
      <c r="AD110" s="115" t="str">
        <f>IFERROR(ROUND((tblPiNHistorical[[#This Row],[CCCM - new]] - tblPiNHistorical[[#This Row],[CCCM - old]])/tblPiNHistorical[[#This Row],[CCCM - old]], 1), "")</f>
        <v/>
      </c>
      <c r="AE110" s="104">
        <f>IFERROR(ROUND((tblPiNHistorical[[#This Row],[Education - new]]-tblPiNHistorical[[#This Row],[Education - old]])/tblPiNHistorical[[#This Row],[Education - old]], 1), "")</f>
        <v>1.5</v>
      </c>
      <c r="AF110" s="104">
        <f>IFERROR(ROUND((tblPiNHistorical[[#This Row],[Nutrition - new]]-tblPiNHistorical[[#This Row],[Nutrition - old]])/tblPiNHistorical[[#This Row],[Nutrition - old]], 1), "")</f>
        <v>0.6</v>
      </c>
      <c r="AG110" s="104">
        <f>IFERROR(ROUND((tblPiNHistorical[[#This Row],[Food Security - new]]-tblPiNHistorical[[#This Row],[Food Security - old]])/tblPiNHistorical[[#This Row],[Food Security - old]], 1), "")</f>
        <v>0.4</v>
      </c>
      <c r="AH110" s="104">
        <f>IFERROR(ROUND((tblPiNHistorical[[#This Row],[Health - new]]-tblPiNHistorical[[#This Row],[Health - old]])/tblPiNHistorical[[#This Row],[Health - old]], 1), "")</f>
        <v>4.0999999999999996</v>
      </c>
      <c r="AI110" s="104">
        <f>IFERROR(ROUND((tblPiNHistorical[[#This Row],[Overarching Protection - new]]-tblPiNHistorical[[#This Row],[Overarching Protection - old]])/tblPiNHistorical[[#This Row],[Overarching Protection - old]], 1), "")</f>
        <v>1.1000000000000001</v>
      </c>
      <c r="AJ110" s="104">
        <f>IFERROR(ROUND((tblPiNHistorical[[#This Row],[Shelter - new]]-tblPiNHistorical[[#This Row],[Shelter - old]])/tblPiNHistorical[[#This Row],[Shelter - old]], 1), "")</f>
        <v>0</v>
      </c>
      <c r="AK110" s="11">
        <f>IFERROR(ROUND((tblPiNHistorical[[#This Row],[WASH - new]]-tblPiNHistorical[[#This Row],[WASH - old]])/tblPiNHistorical[[#This Row],[WASH - old]], 1), "")</f>
        <v>1.9</v>
      </c>
    </row>
    <row r="111" spans="1:37" ht="17.649999999999999" customHeight="1" x14ac:dyDescent="0.25">
      <c r="A111" s="110" t="s">
        <v>342</v>
      </c>
      <c r="B111" s="81" t="s">
        <v>352</v>
      </c>
      <c r="C111" s="81" t="s">
        <v>202</v>
      </c>
      <c r="D111" s="81" t="s">
        <v>62</v>
      </c>
      <c r="E111" s="82">
        <v>47470</v>
      </c>
      <c r="F111" s="71">
        <v>0</v>
      </c>
      <c r="G111" s="66">
        <v>1119.8883459569076</v>
      </c>
      <c r="H111" s="66">
        <v>2336</v>
      </c>
      <c r="I111" s="66">
        <v>20722</v>
      </c>
      <c r="J111" s="66">
        <v>2854</v>
      </c>
      <c r="K111" s="66">
        <v>2566</v>
      </c>
      <c r="L111" s="72">
        <v>13626</v>
      </c>
      <c r="M111" s="73">
        <v>16549.143</v>
      </c>
      <c r="N111" s="76">
        <v>13875</v>
      </c>
      <c r="O111" s="76">
        <v>6042</v>
      </c>
      <c r="P111" s="66">
        <v>3909</v>
      </c>
      <c r="Q111" s="66">
        <v>22574</v>
      </c>
      <c r="R111" s="66">
        <v>31057</v>
      </c>
      <c r="S111" s="66">
        <v>5410</v>
      </c>
      <c r="T111" s="66">
        <v>17875</v>
      </c>
      <c r="U111" s="66">
        <v>42779</v>
      </c>
      <c r="V111" s="83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111" s="84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4922.1116540430921</v>
      </c>
      <c r="X111" s="84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1573</v>
      </c>
      <c r="Y111" s="84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1852</v>
      </c>
      <c r="Z111" s="84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28203</v>
      </c>
      <c r="AA111" s="84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2844</v>
      </c>
      <c r="AB111" s="84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4249</v>
      </c>
      <c r="AC111" s="126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26229.857</v>
      </c>
      <c r="AD111" s="125" t="str">
        <f>IFERROR(ROUND((tblPiNHistorical[[#This Row],[CCCM - new]] - tblPiNHistorical[[#This Row],[CCCM - old]])/tblPiNHistorical[[#This Row],[CCCM - old]], 1), "")</f>
        <v/>
      </c>
      <c r="AE111" s="85">
        <f>IFERROR(ROUND((tblPiNHistorical[[#This Row],[Education - new]]-tblPiNHistorical[[#This Row],[Education - old]])/tblPiNHistorical[[#This Row],[Education - old]], 1), "")</f>
        <v>4.4000000000000004</v>
      </c>
      <c r="AF111" s="85">
        <f>IFERROR(ROUND((tblPiNHistorical[[#This Row],[Nutrition - new]]-tblPiNHistorical[[#This Row],[Nutrition - old]])/tblPiNHistorical[[#This Row],[Nutrition - old]], 1), "")</f>
        <v>0.7</v>
      </c>
      <c r="AG111" s="85">
        <f>IFERROR(ROUND((tblPiNHistorical[[#This Row],[Food Security - new]]-tblPiNHistorical[[#This Row],[Food Security - old]])/tblPiNHistorical[[#This Row],[Food Security - old]], 1), "")</f>
        <v>0.1</v>
      </c>
      <c r="AH111" s="85">
        <f>IFERROR(ROUND((tblPiNHistorical[[#This Row],[Health - new]]-tblPiNHistorical[[#This Row],[Health - old]])/tblPiNHistorical[[#This Row],[Health - old]], 1), "")</f>
        <v>9.9</v>
      </c>
      <c r="AI111" s="85">
        <f>IFERROR(ROUND((tblPiNHistorical[[#This Row],[Overarching Protection - new]]-tblPiNHistorical[[#This Row],[Overarching Protection - old]])/tblPiNHistorical[[#This Row],[Overarching Protection - old]], 1), "")</f>
        <v>1.1000000000000001</v>
      </c>
      <c r="AJ111" s="85">
        <f>IFERROR(ROUND((tblPiNHistorical[[#This Row],[Shelter - new]]-tblPiNHistorical[[#This Row],[Shelter - old]])/tblPiNHistorical[[#This Row],[Shelter - old]], 1), "")</f>
        <v>0.3</v>
      </c>
      <c r="AK111" s="77">
        <f>IFERROR(ROUND((tblPiNHistorical[[#This Row],[WASH - new]]-tblPiNHistorical[[#This Row],[WASH - old]])/tblPiNHistorical[[#This Row],[WASH - old]], 1), "")</f>
        <v>1.6</v>
      </c>
    </row>
    <row r="112" spans="1:37" ht="17.649999999999999" customHeight="1" x14ac:dyDescent="0.25">
      <c r="A112" s="97" t="s">
        <v>342</v>
      </c>
      <c r="B112" s="65" t="s">
        <v>352</v>
      </c>
      <c r="C112" s="65" t="s">
        <v>224</v>
      </c>
      <c r="D112" s="40" t="s">
        <v>84</v>
      </c>
      <c r="E112" s="37">
        <v>10653</v>
      </c>
      <c r="F112" s="98">
        <v>0</v>
      </c>
      <c r="G112" s="99">
        <v>381.97407535913533</v>
      </c>
      <c r="H112" s="99">
        <v>533</v>
      </c>
      <c r="I112" s="99">
        <v>4736</v>
      </c>
      <c r="J112" s="99">
        <v>1351</v>
      </c>
      <c r="K112" s="99">
        <v>822</v>
      </c>
      <c r="L112" s="100">
        <v>5975</v>
      </c>
      <c r="M112" s="113">
        <v>5975.25</v>
      </c>
      <c r="N112" s="101">
        <v>2880</v>
      </c>
      <c r="O112" s="101">
        <v>1229</v>
      </c>
      <c r="P112" s="99">
        <v>882</v>
      </c>
      <c r="Q112" s="99">
        <v>5159</v>
      </c>
      <c r="R112" s="99">
        <v>6836</v>
      </c>
      <c r="S112" s="99">
        <v>1427</v>
      </c>
      <c r="T112" s="99">
        <v>1920</v>
      </c>
      <c r="U112" s="99">
        <v>6851</v>
      </c>
      <c r="V112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112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847.02592464086467</v>
      </c>
      <c r="X112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349</v>
      </c>
      <c r="Y112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423</v>
      </c>
      <c r="Z112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5485</v>
      </c>
      <c r="AA112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605</v>
      </c>
      <c r="AB112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-4055</v>
      </c>
      <c r="AC112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875.75</v>
      </c>
      <c r="AD112" s="115" t="str">
        <f>IFERROR(ROUND((tblPiNHistorical[[#This Row],[CCCM - new]] - tblPiNHistorical[[#This Row],[CCCM - old]])/tblPiNHistorical[[#This Row],[CCCM - old]], 1), "")</f>
        <v/>
      </c>
      <c r="AE112" s="104">
        <f>IFERROR(ROUND((tblPiNHistorical[[#This Row],[Education - new]]-tblPiNHistorical[[#This Row],[Education - old]])/tblPiNHistorical[[#This Row],[Education - old]], 1), "")</f>
        <v>2.2000000000000002</v>
      </c>
      <c r="AF112" s="104">
        <f>IFERROR(ROUND((tblPiNHistorical[[#This Row],[Nutrition - new]]-tblPiNHistorical[[#This Row],[Nutrition - old]])/tblPiNHistorical[[#This Row],[Nutrition - old]], 1), "")</f>
        <v>0.7</v>
      </c>
      <c r="AG112" s="104">
        <f>IFERROR(ROUND((tblPiNHistorical[[#This Row],[Food Security - new]]-tblPiNHistorical[[#This Row],[Food Security - old]])/tblPiNHistorical[[#This Row],[Food Security - old]], 1), "")</f>
        <v>0.1</v>
      </c>
      <c r="AH112" s="104">
        <f>IFERROR(ROUND((tblPiNHistorical[[#This Row],[Health - new]]-tblPiNHistorical[[#This Row],[Health - old]])/tblPiNHistorical[[#This Row],[Health - old]], 1), "")</f>
        <v>4.0999999999999996</v>
      </c>
      <c r="AI112" s="104">
        <f>IFERROR(ROUND((tblPiNHistorical[[#This Row],[Overarching Protection - new]]-tblPiNHistorical[[#This Row],[Overarching Protection - old]])/tblPiNHistorical[[#This Row],[Overarching Protection - old]], 1), "")</f>
        <v>0.7</v>
      </c>
      <c r="AJ112" s="104">
        <f>IFERROR(ROUND((tblPiNHistorical[[#This Row],[Shelter - new]]-tblPiNHistorical[[#This Row],[Shelter - old]])/tblPiNHistorical[[#This Row],[Shelter - old]], 1), "")</f>
        <v>-0.7</v>
      </c>
      <c r="AK112" s="11">
        <f>IFERROR(ROUND((tblPiNHistorical[[#This Row],[WASH - new]]-tblPiNHistorical[[#This Row],[WASH - old]])/tblPiNHistorical[[#This Row],[WASH - old]], 1), "")</f>
        <v>0.1</v>
      </c>
    </row>
    <row r="113" spans="1:37" ht="17.649999999999999" customHeight="1" x14ac:dyDescent="0.25">
      <c r="A113" s="97" t="s">
        <v>342</v>
      </c>
      <c r="B113" s="65" t="s">
        <v>352</v>
      </c>
      <c r="C113" s="65" t="s">
        <v>296</v>
      </c>
      <c r="D113" s="40" t="s">
        <v>156</v>
      </c>
      <c r="E113" s="37">
        <v>36686</v>
      </c>
      <c r="F113" s="98">
        <v>0</v>
      </c>
      <c r="G113" s="99">
        <v>1142.6619979960178</v>
      </c>
      <c r="H113" s="99">
        <v>1928</v>
      </c>
      <c r="I113" s="99">
        <v>18828</v>
      </c>
      <c r="J113" s="99">
        <v>3258</v>
      </c>
      <c r="K113" s="99">
        <v>2472</v>
      </c>
      <c r="L113" s="100">
        <v>15889</v>
      </c>
      <c r="M113" s="113">
        <v>20542.854350000001</v>
      </c>
      <c r="N113" s="101">
        <v>7668</v>
      </c>
      <c r="O113" s="101">
        <v>4372</v>
      </c>
      <c r="P113" s="99">
        <v>3020</v>
      </c>
      <c r="Q113" s="99">
        <v>19590</v>
      </c>
      <c r="R113" s="99">
        <v>19423</v>
      </c>
      <c r="S113" s="99">
        <v>5109</v>
      </c>
      <c r="T113" s="99">
        <v>15787</v>
      </c>
      <c r="U113" s="99">
        <v>20866</v>
      </c>
      <c r="V113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113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3229.3380020039822</v>
      </c>
      <c r="X113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1092</v>
      </c>
      <c r="Y113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762</v>
      </c>
      <c r="Z113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16165</v>
      </c>
      <c r="AA113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2637</v>
      </c>
      <c r="AB113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-102</v>
      </c>
      <c r="AC113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323.14564999999857</v>
      </c>
      <c r="AD113" s="115" t="str">
        <f>IFERROR(ROUND((tblPiNHistorical[[#This Row],[CCCM - new]] - tblPiNHistorical[[#This Row],[CCCM - old]])/tblPiNHistorical[[#This Row],[CCCM - old]], 1), "")</f>
        <v/>
      </c>
      <c r="AE113" s="104">
        <f>IFERROR(ROUND((tblPiNHistorical[[#This Row],[Education - new]]-tblPiNHistorical[[#This Row],[Education - old]])/tblPiNHistorical[[#This Row],[Education - old]], 1), "")</f>
        <v>2.8</v>
      </c>
      <c r="AF113" s="104">
        <f>IFERROR(ROUND((tblPiNHistorical[[#This Row],[Nutrition - new]]-tblPiNHistorical[[#This Row],[Nutrition - old]])/tblPiNHistorical[[#This Row],[Nutrition - old]], 1), "")</f>
        <v>0.6</v>
      </c>
      <c r="AG113" s="104">
        <f>IFERROR(ROUND((tblPiNHistorical[[#This Row],[Food Security - new]]-tblPiNHistorical[[#This Row],[Food Security - old]])/tblPiNHistorical[[#This Row],[Food Security - old]], 1), "")</f>
        <v>0</v>
      </c>
      <c r="AH113" s="104">
        <f>IFERROR(ROUND((tblPiNHistorical[[#This Row],[Health - new]]-tblPiNHistorical[[#This Row],[Health - old]])/tblPiNHistorical[[#This Row],[Health - old]], 1), "")</f>
        <v>5</v>
      </c>
      <c r="AI113" s="104">
        <f>IFERROR(ROUND((tblPiNHistorical[[#This Row],[Overarching Protection - new]]-tblPiNHistorical[[#This Row],[Overarching Protection - old]])/tblPiNHistorical[[#This Row],[Overarching Protection - old]], 1), "")</f>
        <v>1.1000000000000001</v>
      </c>
      <c r="AJ113" s="104">
        <f>IFERROR(ROUND((tblPiNHistorical[[#This Row],[Shelter - new]]-tblPiNHistorical[[#This Row],[Shelter - old]])/tblPiNHistorical[[#This Row],[Shelter - old]], 1), "")</f>
        <v>0</v>
      </c>
      <c r="AK113" s="11">
        <f>IFERROR(ROUND((tblPiNHistorical[[#This Row],[WASH - new]]-tblPiNHistorical[[#This Row],[WASH - old]])/tblPiNHistorical[[#This Row],[WASH - old]], 1), "")</f>
        <v>0</v>
      </c>
    </row>
    <row r="114" spans="1:37" ht="17.649999999999999" customHeight="1" x14ac:dyDescent="0.25">
      <c r="A114" s="97" t="s">
        <v>342</v>
      </c>
      <c r="B114" s="65" t="s">
        <v>352</v>
      </c>
      <c r="C114" s="65" t="s">
        <v>238</v>
      </c>
      <c r="D114" s="40" t="s">
        <v>98</v>
      </c>
      <c r="E114" s="37">
        <v>35368</v>
      </c>
      <c r="F114" s="98">
        <v>0</v>
      </c>
      <c r="G114" s="99">
        <v>752.63324149462858</v>
      </c>
      <c r="H114" s="99">
        <v>1638</v>
      </c>
      <c r="I114" s="99">
        <v>17199</v>
      </c>
      <c r="J114" s="99">
        <v>5687</v>
      </c>
      <c r="K114" s="99">
        <v>1670</v>
      </c>
      <c r="L114" s="100">
        <v>12755</v>
      </c>
      <c r="M114" s="113">
        <v>9049.8970000000008</v>
      </c>
      <c r="N114" s="101">
        <v>12750</v>
      </c>
      <c r="O114" s="101">
        <v>4279</v>
      </c>
      <c r="P114" s="99">
        <v>2926</v>
      </c>
      <c r="Q114" s="99">
        <v>17295</v>
      </c>
      <c r="R114" s="99">
        <v>26838</v>
      </c>
      <c r="S114" s="99">
        <v>7036</v>
      </c>
      <c r="T114" s="99">
        <v>15000</v>
      </c>
      <c r="U114" s="99">
        <v>29090</v>
      </c>
      <c r="V114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114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3526.3667585053713</v>
      </c>
      <c r="X114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1288</v>
      </c>
      <c r="Y114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96</v>
      </c>
      <c r="Z114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21151</v>
      </c>
      <c r="AA114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5366</v>
      </c>
      <c r="AB114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2245</v>
      </c>
      <c r="AC114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20040.102999999999</v>
      </c>
      <c r="AD114" s="115" t="str">
        <f>IFERROR(ROUND((tblPiNHistorical[[#This Row],[CCCM - new]] - tblPiNHistorical[[#This Row],[CCCM - old]])/tblPiNHistorical[[#This Row],[CCCM - old]], 1), "")</f>
        <v/>
      </c>
      <c r="AE114" s="104">
        <f>IFERROR(ROUND((tblPiNHistorical[[#This Row],[Education - new]]-tblPiNHistorical[[#This Row],[Education - old]])/tblPiNHistorical[[#This Row],[Education - old]], 1), "")</f>
        <v>4.7</v>
      </c>
      <c r="AF114" s="104">
        <f>IFERROR(ROUND((tblPiNHistorical[[#This Row],[Nutrition - new]]-tblPiNHistorical[[#This Row],[Nutrition - old]])/tblPiNHistorical[[#This Row],[Nutrition - old]], 1), "")</f>
        <v>0.8</v>
      </c>
      <c r="AG114" s="104">
        <f>IFERROR(ROUND((tblPiNHistorical[[#This Row],[Food Security - new]]-tblPiNHistorical[[#This Row],[Food Security - old]])/tblPiNHistorical[[#This Row],[Food Security - old]], 1), "")</f>
        <v>0</v>
      </c>
      <c r="AH114" s="104">
        <f>IFERROR(ROUND((tblPiNHistorical[[#This Row],[Health - new]]-tblPiNHistorical[[#This Row],[Health - old]])/tblPiNHistorical[[#This Row],[Health - old]], 1), "")</f>
        <v>3.7</v>
      </c>
      <c r="AI114" s="104">
        <f>IFERROR(ROUND((tblPiNHistorical[[#This Row],[Overarching Protection - new]]-tblPiNHistorical[[#This Row],[Overarching Protection - old]])/tblPiNHistorical[[#This Row],[Overarching Protection - old]], 1), "")</f>
        <v>3.2</v>
      </c>
      <c r="AJ114" s="104">
        <f>IFERROR(ROUND((tblPiNHistorical[[#This Row],[Shelter - new]]-tblPiNHistorical[[#This Row],[Shelter - old]])/tblPiNHistorical[[#This Row],[Shelter - old]], 1), "")</f>
        <v>0.2</v>
      </c>
      <c r="AK114" s="11">
        <f>IFERROR(ROUND((tblPiNHistorical[[#This Row],[WASH - new]]-tblPiNHistorical[[#This Row],[WASH - old]])/tblPiNHistorical[[#This Row],[WASH - old]], 1), "")</f>
        <v>2.2000000000000002</v>
      </c>
    </row>
    <row r="115" spans="1:37" ht="17.649999999999999" customHeight="1" x14ac:dyDescent="0.25">
      <c r="A115" s="97" t="s">
        <v>342</v>
      </c>
      <c r="B115" s="65" t="s">
        <v>352</v>
      </c>
      <c r="C115" s="65" t="s">
        <v>208</v>
      </c>
      <c r="D115" s="40" t="s">
        <v>68</v>
      </c>
      <c r="E115" s="37">
        <v>49099</v>
      </c>
      <c r="F115" s="98">
        <v>0</v>
      </c>
      <c r="G115" s="99">
        <v>1053.8207827781846</v>
      </c>
      <c r="H115" s="99">
        <v>2253</v>
      </c>
      <c r="I115" s="99">
        <v>20750</v>
      </c>
      <c r="J115" s="99">
        <v>2278</v>
      </c>
      <c r="K115" s="99">
        <v>2354</v>
      </c>
      <c r="L115" s="100">
        <v>11775</v>
      </c>
      <c r="M115" s="113">
        <v>14330.960000000001</v>
      </c>
      <c r="N115" s="101">
        <v>18195</v>
      </c>
      <c r="O115" s="101">
        <v>5931</v>
      </c>
      <c r="P115" s="99">
        <v>4057</v>
      </c>
      <c r="Q115" s="99">
        <v>22208</v>
      </c>
      <c r="R115" s="99">
        <v>39854</v>
      </c>
      <c r="S115" s="99">
        <v>6508</v>
      </c>
      <c r="T115" s="99">
        <v>27128</v>
      </c>
      <c r="U115" s="99">
        <v>40952</v>
      </c>
      <c r="V115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115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4877.1792172218156</v>
      </c>
      <c r="X115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1804</v>
      </c>
      <c r="Y115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1458</v>
      </c>
      <c r="Z115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37576</v>
      </c>
      <c r="AA115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4154</v>
      </c>
      <c r="AB115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15353</v>
      </c>
      <c r="AC115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26621.040000000001</v>
      </c>
      <c r="AD115" s="115" t="str">
        <f>IFERROR(ROUND((tblPiNHistorical[[#This Row],[CCCM - new]] - tblPiNHistorical[[#This Row],[CCCM - old]])/tblPiNHistorical[[#This Row],[CCCM - old]], 1), "")</f>
        <v/>
      </c>
      <c r="AE115" s="104">
        <f>IFERROR(ROUND((tblPiNHistorical[[#This Row],[Education - new]]-tblPiNHistorical[[#This Row],[Education - old]])/tblPiNHistorical[[#This Row],[Education - old]], 1), "")</f>
        <v>4.5999999999999996</v>
      </c>
      <c r="AF115" s="104">
        <f>IFERROR(ROUND((tblPiNHistorical[[#This Row],[Nutrition - new]]-tblPiNHistorical[[#This Row],[Nutrition - old]])/tblPiNHistorical[[#This Row],[Nutrition - old]], 1), "")</f>
        <v>0.8</v>
      </c>
      <c r="AG115" s="104">
        <f>IFERROR(ROUND((tblPiNHistorical[[#This Row],[Food Security - new]]-tblPiNHistorical[[#This Row],[Food Security - old]])/tblPiNHistorical[[#This Row],[Food Security - old]], 1), "")</f>
        <v>0.1</v>
      </c>
      <c r="AH115" s="104">
        <f>IFERROR(ROUND((tblPiNHistorical[[#This Row],[Health - new]]-tblPiNHistorical[[#This Row],[Health - old]])/tblPiNHistorical[[#This Row],[Health - old]], 1), "")</f>
        <v>16.5</v>
      </c>
      <c r="AI115" s="104">
        <f>IFERROR(ROUND((tblPiNHistorical[[#This Row],[Overarching Protection - new]]-tblPiNHistorical[[#This Row],[Overarching Protection - old]])/tblPiNHistorical[[#This Row],[Overarching Protection - old]], 1), "")</f>
        <v>1.8</v>
      </c>
      <c r="AJ115" s="104">
        <f>IFERROR(ROUND((tblPiNHistorical[[#This Row],[Shelter - new]]-tblPiNHistorical[[#This Row],[Shelter - old]])/tblPiNHistorical[[#This Row],[Shelter - old]], 1), "")</f>
        <v>1.3</v>
      </c>
      <c r="AK115" s="11">
        <f>IFERROR(ROUND((tblPiNHistorical[[#This Row],[WASH - new]]-tblPiNHistorical[[#This Row],[WASH - old]])/tblPiNHistorical[[#This Row],[WASH - old]], 1), "")</f>
        <v>1.9</v>
      </c>
    </row>
    <row r="116" spans="1:37" ht="17.649999999999999" customHeight="1" x14ac:dyDescent="0.25">
      <c r="A116" s="97" t="s">
        <v>342</v>
      </c>
      <c r="B116" s="65" t="s">
        <v>352</v>
      </c>
      <c r="C116" s="65" t="s">
        <v>248</v>
      </c>
      <c r="D116" s="40" t="s">
        <v>108</v>
      </c>
      <c r="E116" s="37">
        <v>41207</v>
      </c>
      <c r="F116" s="98">
        <v>0</v>
      </c>
      <c r="G116" s="99">
        <v>1123.6280193443829</v>
      </c>
      <c r="H116" s="99">
        <v>2398</v>
      </c>
      <c r="I116" s="99">
        <v>21311</v>
      </c>
      <c r="J116" s="99">
        <v>3788</v>
      </c>
      <c r="K116" s="99">
        <v>2265</v>
      </c>
      <c r="L116" s="100">
        <v>16926</v>
      </c>
      <c r="M116" s="113">
        <v>15491.196</v>
      </c>
      <c r="N116" s="101">
        <v>2985</v>
      </c>
      <c r="O116" s="101">
        <v>4815</v>
      </c>
      <c r="P116" s="99">
        <v>3341</v>
      </c>
      <c r="Q116" s="99">
        <v>23216</v>
      </c>
      <c r="R116" s="99">
        <v>13670</v>
      </c>
      <c r="S116" s="99">
        <v>4692</v>
      </c>
      <c r="T116" s="99">
        <v>11936</v>
      </c>
      <c r="U116" s="99">
        <v>12255</v>
      </c>
      <c r="V116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116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3691.3719806556173</v>
      </c>
      <c r="X116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943</v>
      </c>
      <c r="Y116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1905</v>
      </c>
      <c r="Z116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9882</v>
      </c>
      <c r="AA116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2427</v>
      </c>
      <c r="AB116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-4990</v>
      </c>
      <c r="AC116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-3236.1959999999999</v>
      </c>
      <c r="AD116" s="115" t="str">
        <f>IFERROR(ROUND((tblPiNHistorical[[#This Row],[CCCM - new]] - tblPiNHistorical[[#This Row],[CCCM - old]])/tblPiNHistorical[[#This Row],[CCCM - old]], 1), "")</f>
        <v/>
      </c>
      <c r="AE116" s="104">
        <f>IFERROR(ROUND((tblPiNHistorical[[#This Row],[Education - new]]-tblPiNHistorical[[#This Row],[Education - old]])/tblPiNHistorical[[#This Row],[Education - old]], 1), "")</f>
        <v>3.3</v>
      </c>
      <c r="AF116" s="104">
        <f>IFERROR(ROUND((tblPiNHistorical[[#This Row],[Nutrition - new]]-tblPiNHistorical[[#This Row],[Nutrition - old]])/tblPiNHistorical[[#This Row],[Nutrition - old]], 1), "")</f>
        <v>0.4</v>
      </c>
      <c r="AG116" s="104">
        <f>IFERROR(ROUND((tblPiNHistorical[[#This Row],[Food Security - new]]-tblPiNHistorical[[#This Row],[Food Security - old]])/tblPiNHistorical[[#This Row],[Food Security - old]], 1), "")</f>
        <v>0.1</v>
      </c>
      <c r="AH116" s="104">
        <f>IFERROR(ROUND((tblPiNHistorical[[#This Row],[Health - new]]-tblPiNHistorical[[#This Row],[Health - old]])/tblPiNHistorical[[#This Row],[Health - old]], 1), "")</f>
        <v>2.6</v>
      </c>
      <c r="AI116" s="104">
        <f>IFERROR(ROUND((tblPiNHistorical[[#This Row],[Overarching Protection - new]]-tblPiNHistorical[[#This Row],[Overarching Protection - old]])/tblPiNHistorical[[#This Row],[Overarching Protection - old]], 1), "")</f>
        <v>1.1000000000000001</v>
      </c>
      <c r="AJ116" s="104">
        <f>IFERROR(ROUND((tblPiNHistorical[[#This Row],[Shelter - new]]-tblPiNHistorical[[#This Row],[Shelter - old]])/tblPiNHistorical[[#This Row],[Shelter - old]], 1), "")</f>
        <v>-0.3</v>
      </c>
      <c r="AK116" s="11">
        <f>IFERROR(ROUND((tblPiNHistorical[[#This Row],[WASH - new]]-tblPiNHistorical[[#This Row],[WASH - old]])/tblPiNHistorical[[#This Row],[WASH - old]], 1), "")</f>
        <v>-0.2</v>
      </c>
    </row>
    <row r="117" spans="1:37" ht="17.649999999999999" customHeight="1" x14ac:dyDescent="0.25">
      <c r="A117" s="97" t="s">
        <v>342</v>
      </c>
      <c r="B117" s="65" t="s">
        <v>352</v>
      </c>
      <c r="C117" s="65" t="s">
        <v>283</v>
      </c>
      <c r="D117" s="40" t="s">
        <v>143</v>
      </c>
      <c r="E117" s="37">
        <v>24756</v>
      </c>
      <c r="F117" s="98">
        <v>0</v>
      </c>
      <c r="G117" s="99">
        <v>588.32733509877619</v>
      </c>
      <c r="H117" s="99">
        <v>1447</v>
      </c>
      <c r="I117" s="99">
        <v>12856</v>
      </c>
      <c r="J117" s="99">
        <v>1679</v>
      </c>
      <c r="K117" s="99">
        <v>1363</v>
      </c>
      <c r="L117" s="100">
        <v>4602</v>
      </c>
      <c r="M117" s="113">
        <v>5675.3375000000005</v>
      </c>
      <c r="N117" s="101">
        <v>1650</v>
      </c>
      <c r="O117" s="101">
        <v>3062</v>
      </c>
      <c r="P117" s="99">
        <v>1978</v>
      </c>
      <c r="Q117" s="99">
        <v>14005</v>
      </c>
      <c r="R117" s="99">
        <v>7971</v>
      </c>
      <c r="S117" s="99">
        <v>2092</v>
      </c>
      <c r="T117" s="99">
        <v>15000</v>
      </c>
      <c r="U117" s="99">
        <v>7163</v>
      </c>
      <c r="V117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117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2473.6726649012239</v>
      </c>
      <c r="X117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531</v>
      </c>
      <c r="Y117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1149</v>
      </c>
      <c r="Z117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6292</v>
      </c>
      <c r="AA117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729</v>
      </c>
      <c r="AB117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10398</v>
      </c>
      <c r="AC117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1487.6624999999995</v>
      </c>
      <c r="AD117" s="115" t="str">
        <f>IFERROR(ROUND((tblPiNHistorical[[#This Row],[CCCM - new]] - tblPiNHistorical[[#This Row],[CCCM - old]])/tblPiNHistorical[[#This Row],[CCCM - old]], 1), "")</f>
        <v/>
      </c>
      <c r="AE117" s="104">
        <f>IFERROR(ROUND((tblPiNHistorical[[#This Row],[Education - new]]-tblPiNHistorical[[#This Row],[Education - old]])/tblPiNHistorical[[#This Row],[Education - old]], 1), "")</f>
        <v>4.2</v>
      </c>
      <c r="AF117" s="104">
        <f>IFERROR(ROUND((tblPiNHistorical[[#This Row],[Nutrition - new]]-tblPiNHistorical[[#This Row],[Nutrition - old]])/tblPiNHistorical[[#This Row],[Nutrition - old]], 1), "")</f>
        <v>0.4</v>
      </c>
      <c r="AG117" s="104">
        <f>IFERROR(ROUND((tblPiNHistorical[[#This Row],[Food Security - new]]-tblPiNHistorical[[#This Row],[Food Security - old]])/tblPiNHistorical[[#This Row],[Food Security - old]], 1), "")</f>
        <v>0.1</v>
      </c>
      <c r="AH117" s="104">
        <f>IFERROR(ROUND((tblPiNHistorical[[#This Row],[Health - new]]-tblPiNHistorical[[#This Row],[Health - old]])/tblPiNHistorical[[#This Row],[Health - old]], 1), "")</f>
        <v>3.7</v>
      </c>
      <c r="AI117" s="104">
        <f>IFERROR(ROUND((tblPiNHistorical[[#This Row],[Overarching Protection - new]]-tblPiNHistorical[[#This Row],[Overarching Protection - old]])/tblPiNHistorical[[#This Row],[Overarching Protection - old]], 1), "")</f>
        <v>0.5</v>
      </c>
      <c r="AJ117" s="104">
        <f>IFERROR(ROUND((tblPiNHistorical[[#This Row],[Shelter - new]]-tblPiNHistorical[[#This Row],[Shelter - old]])/tblPiNHistorical[[#This Row],[Shelter - old]], 1), "")</f>
        <v>2.2999999999999998</v>
      </c>
      <c r="AK117" s="11">
        <f>IFERROR(ROUND((tblPiNHistorical[[#This Row],[WASH - new]]-tblPiNHistorical[[#This Row],[WASH - old]])/tblPiNHistorical[[#This Row],[WASH - old]], 1), "")</f>
        <v>0.3</v>
      </c>
    </row>
    <row r="118" spans="1:37" ht="17.649999999999999" customHeight="1" x14ac:dyDescent="0.25">
      <c r="A118" s="97" t="s">
        <v>342</v>
      </c>
      <c r="B118" s="65" t="s">
        <v>352</v>
      </c>
      <c r="C118" s="65" t="s">
        <v>243</v>
      </c>
      <c r="D118" s="40" t="s">
        <v>103</v>
      </c>
      <c r="E118" s="37">
        <v>28292</v>
      </c>
      <c r="F118" s="98">
        <v>0</v>
      </c>
      <c r="G118" s="99">
        <v>900.8777301365825</v>
      </c>
      <c r="H118" s="99">
        <v>1211</v>
      </c>
      <c r="I118" s="99">
        <v>11364</v>
      </c>
      <c r="J118" s="99">
        <v>99</v>
      </c>
      <c r="K118" s="99">
        <v>1907</v>
      </c>
      <c r="L118" s="100">
        <v>13779</v>
      </c>
      <c r="M118" s="113">
        <v>10644.535</v>
      </c>
      <c r="N118" s="101">
        <v>12600</v>
      </c>
      <c r="O118" s="101">
        <v>3448</v>
      </c>
      <c r="P118" s="99">
        <v>2392</v>
      </c>
      <c r="Q118" s="99">
        <v>12051</v>
      </c>
      <c r="R118" s="99">
        <v>24955</v>
      </c>
      <c r="S118" s="99">
        <v>7992</v>
      </c>
      <c r="T118" s="99">
        <v>20726</v>
      </c>
      <c r="U118" s="99">
        <v>32876</v>
      </c>
      <c r="V118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118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2547.1222698634174</v>
      </c>
      <c r="X118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1181</v>
      </c>
      <c r="Y118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687</v>
      </c>
      <c r="Z118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24856</v>
      </c>
      <c r="AA118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6085</v>
      </c>
      <c r="AB118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6947</v>
      </c>
      <c r="AC118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22231.465</v>
      </c>
      <c r="AD118" s="115" t="str">
        <f>IFERROR(ROUND((tblPiNHistorical[[#This Row],[CCCM - new]] - tblPiNHistorical[[#This Row],[CCCM - old]])/tblPiNHistorical[[#This Row],[CCCM - old]], 1), "")</f>
        <v/>
      </c>
      <c r="AE118" s="104">
        <f>IFERROR(ROUND((tblPiNHistorical[[#This Row],[Education - new]]-tblPiNHistorical[[#This Row],[Education - old]])/tblPiNHistorical[[#This Row],[Education - old]], 1), "")</f>
        <v>2.8</v>
      </c>
      <c r="AF118" s="104">
        <f>IFERROR(ROUND((tblPiNHistorical[[#This Row],[Nutrition - new]]-tblPiNHistorical[[#This Row],[Nutrition - old]])/tblPiNHistorical[[#This Row],[Nutrition - old]], 1), "")</f>
        <v>1</v>
      </c>
      <c r="AG118" s="104">
        <f>IFERROR(ROUND((tblPiNHistorical[[#This Row],[Food Security - new]]-tblPiNHistorical[[#This Row],[Food Security - old]])/tblPiNHistorical[[#This Row],[Food Security - old]], 1), "")</f>
        <v>0.1</v>
      </c>
      <c r="AH118" s="104">
        <f>IFERROR(ROUND((tblPiNHistorical[[#This Row],[Health - new]]-tblPiNHistorical[[#This Row],[Health - old]])/tblPiNHistorical[[#This Row],[Health - old]], 1), "")</f>
        <v>251.1</v>
      </c>
      <c r="AI118" s="104">
        <f>IFERROR(ROUND((tblPiNHistorical[[#This Row],[Overarching Protection - new]]-tblPiNHistorical[[#This Row],[Overarching Protection - old]])/tblPiNHistorical[[#This Row],[Overarching Protection - old]], 1), "")</f>
        <v>3.2</v>
      </c>
      <c r="AJ118" s="104">
        <f>IFERROR(ROUND((tblPiNHistorical[[#This Row],[Shelter - new]]-tblPiNHistorical[[#This Row],[Shelter - old]])/tblPiNHistorical[[#This Row],[Shelter - old]], 1), "")</f>
        <v>0.5</v>
      </c>
      <c r="AK118" s="11">
        <f>IFERROR(ROUND((tblPiNHistorical[[#This Row],[WASH - new]]-tblPiNHistorical[[#This Row],[WASH - old]])/tblPiNHistorical[[#This Row],[WASH - old]], 1), "")</f>
        <v>2.1</v>
      </c>
    </row>
    <row r="119" spans="1:37" ht="17.649999999999999" customHeight="1" x14ac:dyDescent="0.25">
      <c r="A119" s="97" t="s">
        <v>342</v>
      </c>
      <c r="B119" s="65" t="s">
        <v>352</v>
      </c>
      <c r="C119" s="65" t="s">
        <v>320</v>
      </c>
      <c r="D119" s="40" t="s">
        <v>180</v>
      </c>
      <c r="E119" s="37">
        <v>41589</v>
      </c>
      <c r="F119" s="98">
        <v>0</v>
      </c>
      <c r="G119" s="99">
        <v>1473.3833701345034</v>
      </c>
      <c r="H119" s="99">
        <v>2213</v>
      </c>
      <c r="I119" s="99">
        <v>20840</v>
      </c>
      <c r="J119" s="99">
        <v>3726</v>
      </c>
      <c r="K119" s="99">
        <v>3064</v>
      </c>
      <c r="L119" s="100">
        <v>19024</v>
      </c>
      <c r="M119" s="113">
        <v>19216.094300000001</v>
      </c>
      <c r="N119" s="101">
        <v>8036</v>
      </c>
      <c r="O119" s="101">
        <v>4898</v>
      </c>
      <c r="P119" s="99">
        <v>3417</v>
      </c>
      <c r="Q119" s="99">
        <v>22064</v>
      </c>
      <c r="R119" s="99">
        <v>21046</v>
      </c>
      <c r="S119" s="99">
        <v>6914</v>
      </c>
      <c r="T119" s="99">
        <v>1555</v>
      </c>
      <c r="U119" s="99">
        <v>20423</v>
      </c>
      <c r="V119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119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3424.6166298654966</v>
      </c>
      <c r="X119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1204</v>
      </c>
      <c r="Y119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1224</v>
      </c>
      <c r="Z119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17320</v>
      </c>
      <c r="AA119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3850</v>
      </c>
      <c r="AB119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-17469</v>
      </c>
      <c r="AC119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1206.9056999999993</v>
      </c>
      <c r="AD119" s="115" t="str">
        <f>IFERROR(ROUND((tblPiNHistorical[[#This Row],[CCCM - new]] - tblPiNHistorical[[#This Row],[CCCM - old]])/tblPiNHistorical[[#This Row],[CCCM - old]], 1), "")</f>
        <v/>
      </c>
      <c r="AE119" s="104">
        <f>IFERROR(ROUND((tblPiNHistorical[[#This Row],[Education - new]]-tblPiNHistorical[[#This Row],[Education - old]])/tblPiNHistorical[[#This Row],[Education - old]], 1), "")</f>
        <v>2.2999999999999998</v>
      </c>
      <c r="AF119" s="104">
        <f>IFERROR(ROUND((tblPiNHistorical[[#This Row],[Nutrition - new]]-tblPiNHistorical[[#This Row],[Nutrition - old]])/tblPiNHistorical[[#This Row],[Nutrition - old]], 1), "")</f>
        <v>0.5</v>
      </c>
      <c r="AG119" s="104">
        <f>IFERROR(ROUND((tblPiNHistorical[[#This Row],[Food Security - new]]-tblPiNHistorical[[#This Row],[Food Security - old]])/tblPiNHistorical[[#This Row],[Food Security - old]], 1), "")</f>
        <v>0.1</v>
      </c>
      <c r="AH119" s="104">
        <f>IFERROR(ROUND((tblPiNHistorical[[#This Row],[Health - new]]-tblPiNHistorical[[#This Row],[Health - old]])/tblPiNHistorical[[#This Row],[Health - old]], 1), "")</f>
        <v>4.5999999999999996</v>
      </c>
      <c r="AI119" s="104">
        <f>IFERROR(ROUND((tblPiNHistorical[[#This Row],[Overarching Protection - new]]-tblPiNHistorical[[#This Row],[Overarching Protection - old]])/tblPiNHistorical[[#This Row],[Overarching Protection - old]], 1), "")</f>
        <v>1.3</v>
      </c>
      <c r="AJ119" s="104">
        <f>IFERROR(ROUND((tblPiNHistorical[[#This Row],[Shelter - new]]-tblPiNHistorical[[#This Row],[Shelter - old]])/tblPiNHistorical[[#This Row],[Shelter - old]], 1), "")</f>
        <v>-0.9</v>
      </c>
      <c r="AK119" s="11">
        <f>IFERROR(ROUND((tblPiNHistorical[[#This Row],[WASH - new]]-tblPiNHistorical[[#This Row],[WASH - old]])/tblPiNHistorical[[#This Row],[WASH - old]], 1), "")</f>
        <v>0.1</v>
      </c>
    </row>
    <row r="120" spans="1:37" ht="17.649999999999999" customHeight="1" x14ac:dyDescent="0.25">
      <c r="A120" s="97" t="s">
        <v>342</v>
      </c>
      <c r="B120" s="65" t="s">
        <v>352</v>
      </c>
      <c r="C120" s="65" t="s">
        <v>220</v>
      </c>
      <c r="D120" s="40" t="s">
        <v>80</v>
      </c>
      <c r="E120" s="37">
        <v>35380</v>
      </c>
      <c r="F120" s="98">
        <v>0</v>
      </c>
      <c r="G120" s="99">
        <v>1037.711420493677</v>
      </c>
      <c r="H120" s="99">
        <v>1954</v>
      </c>
      <c r="I120" s="99">
        <v>20527</v>
      </c>
      <c r="J120" s="99">
        <v>11701</v>
      </c>
      <c r="K120" s="99">
        <v>2097</v>
      </c>
      <c r="L120" s="100">
        <v>13399</v>
      </c>
      <c r="M120" s="113">
        <v>12369.546</v>
      </c>
      <c r="N120" s="101">
        <v>5093</v>
      </c>
      <c r="O120" s="101">
        <v>3992</v>
      </c>
      <c r="P120" s="99">
        <v>2892</v>
      </c>
      <c r="Q120" s="99">
        <v>20642</v>
      </c>
      <c r="R120" s="99">
        <v>15400</v>
      </c>
      <c r="S120" s="99">
        <v>6183</v>
      </c>
      <c r="T120" s="99">
        <v>20165</v>
      </c>
      <c r="U120" s="99">
        <v>13695</v>
      </c>
      <c r="V120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120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2954.288579506323</v>
      </c>
      <c r="X120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938</v>
      </c>
      <c r="Y120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115</v>
      </c>
      <c r="Z120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3699</v>
      </c>
      <c r="AA120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4086</v>
      </c>
      <c r="AB120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6766</v>
      </c>
      <c r="AC120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1325.4539999999997</v>
      </c>
      <c r="AD120" s="115" t="str">
        <f>IFERROR(ROUND((tblPiNHistorical[[#This Row],[CCCM - new]] - tblPiNHistorical[[#This Row],[CCCM - old]])/tblPiNHistorical[[#This Row],[CCCM - old]], 1), "")</f>
        <v/>
      </c>
      <c r="AE120" s="104">
        <f>IFERROR(ROUND((tblPiNHistorical[[#This Row],[Education - new]]-tblPiNHistorical[[#This Row],[Education - old]])/tblPiNHistorical[[#This Row],[Education - old]], 1), "")</f>
        <v>2.8</v>
      </c>
      <c r="AF120" s="104">
        <f>IFERROR(ROUND((tblPiNHistorical[[#This Row],[Nutrition - new]]-tblPiNHistorical[[#This Row],[Nutrition - old]])/tblPiNHistorical[[#This Row],[Nutrition - old]], 1), "")</f>
        <v>0.5</v>
      </c>
      <c r="AG120" s="104">
        <f>IFERROR(ROUND((tblPiNHistorical[[#This Row],[Food Security - new]]-tblPiNHistorical[[#This Row],[Food Security - old]])/tblPiNHistorical[[#This Row],[Food Security - old]], 1), "")</f>
        <v>0</v>
      </c>
      <c r="AH120" s="104">
        <f>IFERROR(ROUND((tblPiNHistorical[[#This Row],[Health - new]]-tblPiNHistorical[[#This Row],[Health - old]])/tblPiNHistorical[[#This Row],[Health - old]], 1), "")</f>
        <v>0.3</v>
      </c>
      <c r="AI120" s="104">
        <f>IFERROR(ROUND((tblPiNHistorical[[#This Row],[Overarching Protection - new]]-tblPiNHistorical[[#This Row],[Overarching Protection - old]])/tblPiNHistorical[[#This Row],[Overarching Protection - old]], 1), "")</f>
        <v>1.9</v>
      </c>
      <c r="AJ120" s="104">
        <f>IFERROR(ROUND((tblPiNHistorical[[#This Row],[Shelter - new]]-tblPiNHistorical[[#This Row],[Shelter - old]])/tblPiNHistorical[[#This Row],[Shelter - old]], 1), "")</f>
        <v>0.5</v>
      </c>
      <c r="AK120" s="11">
        <f>IFERROR(ROUND((tblPiNHistorical[[#This Row],[WASH - new]]-tblPiNHistorical[[#This Row],[WASH - old]])/tblPiNHistorical[[#This Row],[WASH - old]], 1), "")</f>
        <v>0.1</v>
      </c>
    </row>
    <row r="121" spans="1:37" ht="17.649999999999999" customHeight="1" x14ac:dyDescent="0.25">
      <c r="A121" s="97" t="s">
        <v>342</v>
      </c>
      <c r="B121" s="65" t="s">
        <v>352</v>
      </c>
      <c r="C121" s="65" t="s">
        <v>300</v>
      </c>
      <c r="D121" s="40" t="s">
        <v>160</v>
      </c>
      <c r="E121" s="37">
        <v>48575</v>
      </c>
      <c r="F121" s="98">
        <v>0</v>
      </c>
      <c r="G121" s="99">
        <v>2693.044284288017</v>
      </c>
      <c r="H121" s="99">
        <v>2764</v>
      </c>
      <c r="I121" s="99">
        <v>26771</v>
      </c>
      <c r="J121" s="99">
        <v>27087</v>
      </c>
      <c r="K121" s="99">
        <v>5738</v>
      </c>
      <c r="L121" s="100">
        <v>42128</v>
      </c>
      <c r="M121" s="113">
        <v>28085</v>
      </c>
      <c r="N121" s="101">
        <v>5045</v>
      </c>
      <c r="O121" s="101">
        <v>5545</v>
      </c>
      <c r="P121" s="99">
        <v>4047</v>
      </c>
      <c r="Q121" s="99">
        <v>27962</v>
      </c>
      <c r="R121" s="99">
        <v>18231</v>
      </c>
      <c r="S121" s="99">
        <v>8703</v>
      </c>
      <c r="T121" s="99">
        <v>24221</v>
      </c>
      <c r="U121" s="99">
        <v>18206</v>
      </c>
      <c r="V121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121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2851.955715711983</v>
      </c>
      <c r="X121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1283</v>
      </c>
      <c r="Y121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1191</v>
      </c>
      <c r="Z121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-8856</v>
      </c>
      <c r="AA121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2965</v>
      </c>
      <c r="AB121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-17907</v>
      </c>
      <c r="AC121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-9879</v>
      </c>
      <c r="AD121" s="115" t="str">
        <f>IFERROR(ROUND((tblPiNHistorical[[#This Row],[CCCM - new]] - tblPiNHistorical[[#This Row],[CCCM - old]])/tblPiNHistorical[[#This Row],[CCCM - old]], 1), "")</f>
        <v/>
      </c>
      <c r="AE121" s="104">
        <f>IFERROR(ROUND((tblPiNHistorical[[#This Row],[Education - new]]-tblPiNHistorical[[#This Row],[Education - old]])/tblPiNHistorical[[#This Row],[Education - old]], 1), "")</f>
        <v>1.1000000000000001</v>
      </c>
      <c r="AF121" s="104">
        <f>IFERROR(ROUND((tblPiNHistorical[[#This Row],[Nutrition - new]]-tblPiNHistorical[[#This Row],[Nutrition - old]])/tblPiNHistorical[[#This Row],[Nutrition - old]], 1), "")</f>
        <v>0.5</v>
      </c>
      <c r="AG121" s="104">
        <f>IFERROR(ROUND((tblPiNHistorical[[#This Row],[Food Security - new]]-tblPiNHistorical[[#This Row],[Food Security - old]])/tblPiNHistorical[[#This Row],[Food Security - old]], 1), "")</f>
        <v>0</v>
      </c>
      <c r="AH121" s="104">
        <f>IFERROR(ROUND((tblPiNHistorical[[#This Row],[Health - new]]-tblPiNHistorical[[#This Row],[Health - old]])/tblPiNHistorical[[#This Row],[Health - old]], 1), "")</f>
        <v>-0.3</v>
      </c>
      <c r="AI121" s="104">
        <f>IFERROR(ROUND((tblPiNHistorical[[#This Row],[Overarching Protection - new]]-tblPiNHistorical[[#This Row],[Overarching Protection - old]])/tblPiNHistorical[[#This Row],[Overarching Protection - old]], 1), "")</f>
        <v>0.5</v>
      </c>
      <c r="AJ121" s="104">
        <f>IFERROR(ROUND((tblPiNHistorical[[#This Row],[Shelter - new]]-tblPiNHistorical[[#This Row],[Shelter - old]])/tblPiNHistorical[[#This Row],[Shelter - old]], 1), "")</f>
        <v>-0.4</v>
      </c>
      <c r="AK121" s="11">
        <f>IFERROR(ROUND((tblPiNHistorical[[#This Row],[WASH - new]]-tblPiNHistorical[[#This Row],[WASH - old]])/tblPiNHistorical[[#This Row],[WASH - old]], 1), "")</f>
        <v>-0.4</v>
      </c>
    </row>
    <row r="122" spans="1:37" ht="17.649999999999999" customHeight="1" x14ac:dyDescent="0.25">
      <c r="A122" s="97" t="s">
        <v>344</v>
      </c>
      <c r="B122" s="65" t="s">
        <v>354</v>
      </c>
      <c r="C122" s="65" t="s">
        <v>314</v>
      </c>
      <c r="D122" s="40" t="s">
        <v>174</v>
      </c>
      <c r="E122" s="37">
        <v>210942</v>
      </c>
      <c r="F122" s="98">
        <v>0</v>
      </c>
      <c r="G122" s="99">
        <v>34630.588750857394</v>
      </c>
      <c r="H122" s="99">
        <v>8729</v>
      </c>
      <c r="I122" s="99">
        <v>35069</v>
      </c>
      <c r="J122" s="99">
        <v>49226</v>
      </c>
      <c r="K122" s="99">
        <v>39084</v>
      </c>
      <c r="L122" s="100">
        <v>44553</v>
      </c>
      <c r="M122" s="113">
        <v>81273.191699999996</v>
      </c>
      <c r="N122" s="101">
        <v>753</v>
      </c>
      <c r="O122" s="101">
        <v>28509</v>
      </c>
      <c r="P122" s="99">
        <v>19072</v>
      </c>
      <c r="Q122" s="99">
        <v>138288</v>
      </c>
      <c r="R122" s="99">
        <v>55681</v>
      </c>
      <c r="S122" s="99">
        <v>45987</v>
      </c>
      <c r="T122" s="99">
        <v>60704</v>
      </c>
      <c r="U122" s="99">
        <v>31912</v>
      </c>
      <c r="V122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122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-6121.5887508573942</v>
      </c>
      <c r="X122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10343</v>
      </c>
      <c r="Y122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103219</v>
      </c>
      <c r="Z122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6455</v>
      </c>
      <c r="AA122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6903</v>
      </c>
      <c r="AB122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16151</v>
      </c>
      <c r="AC122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-49361.191699999996</v>
      </c>
      <c r="AD122" s="115" t="str">
        <f>IFERROR(ROUND((tblPiNHistorical[[#This Row],[CCCM - new]] - tblPiNHistorical[[#This Row],[CCCM - old]])/tblPiNHistorical[[#This Row],[CCCM - old]], 1), "")</f>
        <v/>
      </c>
      <c r="AE122" s="104">
        <f>IFERROR(ROUND((tblPiNHistorical[[#This Row],[Education - new]]-tblPiNHistorical[[#This Row],[Education - old]])/tblPiNHistorical[[#This Row],[Education - old]], 1), "")</f>
        <v>-0.2</v>
      </c>
      <c r="AF122" s="104">
        <f>IFERROR(ROUND((tblPiNHistorical[[#This Row],[Nutrition - new]]-tblPiNHistorical[[#This Row],[Nutrition - old]])/tblPiNHistorical[[#This Row],[Nutrition - old]], 1), "")</f>
        <v>1.2</v>
      </c>
      <c r="AG122" s="104">
        <f>IFERROR(ROUND((tblPiNHistorical[[#This Row],[Food Security - new]]-tblPiNHistorical[[#This Row],[Food Security - old]])/tblPiNHistorical[[#This Row],[Food Security - old]], 1), "")</f>
        <v>2.9</v>
      </c>
      <c r="AH122" s="104">
        <f>IFERROR(ROUND((tblPiNHistorical[[#This Row],[Health - new]]-tblPiNHistorical[[#This Row],[Health - old]])/tblPiNHistorical[[#This Row],[Health - old]], 1), "")</f>
        <v>0.1</v>
      </c>
      <c r="AI122" s="104">
        <f>IFERROR(ROUND((tblPiNHistorical[[#This Row],[Overarching Protection - new]]-tblPiNHistorical[[#This Row],[Overarching Protection - old]])/tblPiNHistorical[[#This Row],[Overarching Protection - old]], 1), "")</f>
        <v>0.2</v>
      </c>
      <c r="AJ122" s="104">
        <f>IFERROR(ROUND((tblPiNHistorical[[#This Row],[Shelter - new]]-tblPiNHistorical[[#This Row],[Shelter - old]])/tblPiNHistorical[[#This Row],[Shelter - old]], 1), "")</f>
        <v>0.4</v>
      </c>
      <c r="AK122" s="11">
        <f>IFERROR(ROUND((tblPiNHistorical[[#This Row],[WASH - new]]-tblPiNHistorical[[#This Row],[WASH - old]])/tblPiNHistorical[[#This Row],[WASH - old]], 1), "")</f>
        <v>-0.6</v>
      </c>
    </row>
    <row r="123" spans="1:37" ht="17.649999999999999" customHeight="1" x14ac:dyDescent="0.25">
      <c r="A123" s="97" t="s">
        <v>344</v>
      </c>
      <c r="B123" s="65" t="s">
        <v>354</v>
      </c>
      <c r="C123" s="65" t="s">
        <v>276</v>
      </c>
      <c r="D123" s="40" t="s">
        <v>136</v>
      </c>
      <c r="E123" s="37">
        <v>40156</v>
      </c>
      <c r="F123" s="98">
        <v>0</v>
      </c>
      <c r="G123" s="99">
        <v>7168.3668076101521</v>
      </c>
      <c r="H123" s="99">
        <v>1663</v>
      </c>
      <c r="I123" s="99">
        <v>15547</v>
      </c>
      <c r="J123" s="99">
        <v>187</v>
      </c>
      <c r="K123" s="99">
        <v>22143</v>
      </c>
      <c r="L123" s="100">
        <v>0</v>
      </c>
      <c r="M123" s="113">
        <v>18936.28</v>
      </c>
      <c r="N123" s="101">
        <v>89</v>
      </c>
      <c r="O123" s="101">
        <v>5630</v>
      </c>
      <c r="P123" s="99">
        <v>3376</v>
      </c>
      <c r="Q123" s="99">
        <v>25406</v>
      </c>
      <c r="R123" s="99">
        <v>9726</v>
      </c>
      <c r="S123" s="99">
        <v>5590</v>
      </c>
      <c r="T123" s="99">
        <v>0</v>
      </c>
      <c r="U123" s="99">
        <v>6161</v>
      </c>
      <c r="V123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123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-1538.3668076101521</v>
      </c>
      <c r="X123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1713</v>
      </c>
      <c r="Y123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9859</v>
      </c>
      <c r="Z123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9539</v>
      </c>
      <c r="AA123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-16553</v>
      </c>
      <c r="AB123" s="103" t="str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/>
      </c>
      <c r="AC123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-12775.279999999999</v>
      </c>
      <c r="AD123" s="115" t="str">
        <f>IFERROR(ROUND((tblPiNHistorical[[#This Row],[CCCM - new]] - tblPiNHistorical[[#This Row],[CCCM - old]])/tblPiNHistorical[[#This Row],[CCCM - old]], 1), "")</f>
        <v/>
      </c>
      <c r="AE123" s="104">
        <f>IFERROR(ROUND((tblPiNHistorical[[#This Row],[Education - new]]-tblPiNHistorical[[#This Row],[Education - old]])/tblPiNHistorical[[#This Row],[Education - old]], 1), "")</f>
        <v>-0.2</v>
      </c>
      <c r="AF123" s="104">
        <f>IFERROR(ROUND((tblPiNHistorical[[#This Row],[Nutrition - new]]-tblPiNHistorical[[#This Row],[Nutrition - old]])/tblPiNHistorical[[#This Row],[Nutrition - old]], 1), "")</f>
        <v>1</v>
      </c>
      <c r="AG123" s="104">
        <f>IFERROR(ROUND((tblPiNHistorical[[#This Row],[Food Security - new]]-tblPiNHistorical[[#This Row],[Food Security - old]])/tblPiNHistorical[[#This Row],[Food Security - old]], 1), "")</f>
        <v>0.6</v>
      </c>
      <c r="AH123" s="104">
        <f>IFERROR(ROUND((tblPiNHistorical[[#This Row],[Health - new]]-tblPiNHistorical[[#This Row],[Health - old]])/tblPiNHistorical[[#This Row],[Health - old]], 1), "")</f>
        <v>51</v>
      </c>
      <c r="AI123" s="104">
        <f>IFERROR(ROUND((tblPiNHistorical[[#This Row],[Overarching Protection - new]]-tblPiNHistorical[[#This Row],[Overarching Protection - old]])/tblPiNHistorical[[#This Row],[Overarching Protection - old]], 1), "")</f>
        <v>-0.7</v>
      </c>
      <c r="AJ123" s="104" t="str">
        <f>IFERROR(ROUND((tblPiNHistorical[[#This Row],[Shelter - new]]-tblPiNHistorical[[#This Row],[Shelter - old]])/tblPiNHistorical[[#This Row],[Shelter - old]], 1), "")</f>
        <v/>
      </c>
      <c r="AK123" s="11">
        <f>IFERROR(ROUND((tblPiNHistorical[[#This Row],[WASH - new]]-tblPiNHistorical[[#This Row],[WASH - old]])/tblPiNHistorical[[#This Row],[WASH - old]], 1), "")</f>
        <v>-0.7</v>
      </c>
    </row>
    <row r="124" spans="1:37" ht="17.649999999999999" customHeight="1" x14ac:dyDescent="0.25">
      <c r="A124" s="97" t="s">
        <v>344</v>
      </c>
      <c r="B124" s="65" t="s">
        <v>354</v>
      </c>
      <c r="C124" s="65" t="s">
        <v>219</v>
      </c>
      <c r="D124" s="40" t="s">
        <v>79</v>
      </c>
      <c r="E124" s="37">
        <v>65669</v>
      </c>
      <c r="F124" s="98">
        <v>0</v>
      </c>
      <c r="G124" s="99">
        <v>8749.2151327961055</v>
      </c>
      <c r="H124" s="99">
        <v>2715</v>
      </c>
      <c r="I124" s="99">
        <v>27638</v>
      </c>
      <c r="J124" s="99">
        <v>10649</v>
      </c>
      <c r="K124" s="99">
        <v>5637</v>
      </c>
      <c r="L124" s="100">
        <v>16050</v>
      </c>
      <c r="M124" s="113">
        <v>39632.375999999997</v>
      </c>
      <c r="N124" s="101">
        <v>1604</v>
      </c>
      <c r="O124" s="101">
        <v>9110</v>
      </c>
      <c r="P124" s="99">
        <v>5458</v>
      </c>
      <c r="Q124" s="99">
        <v>41471</v>
      </c>
      <c r="R124" s="99">
        <v>16993</v>
      </c>
      <c r="S124" s="99">
        <v>14160</v>
      </c>
      <c r="T124" s="99">
        <v>21499</v>
      </c>
      <c r="U124" s="99">
        <v>18530</v>
      </c>
      <c r="V124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124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360.78486720389446</v>
      </c>
      <c r="X124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2743</v>
      </c>
      <c r="Y124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13833</v>
      </c>
      <c r="Z124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6344</v>
      </c>
      <c r="AA124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8523</v>
      </c>
      <c r="AB124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5449</v>
      </c>
      <c r="AC124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-21102.375999999997</v>
      </c>
      <c r="AD124" s="115" t="str">
        <f>IFERROR(ROUND((tblPiNHistorical[[#This Row],[CCCM - new]] - tblPiNHistorical[[#This Row],[CCCM - old]])/tblPiNHistorical[[#This Row],[CCCM - old]], 1), "")</f>
        <v/>
      </c>
      <c r="AE124" s="104">
        <f>IFERROR(ROUND((tblPiNHistorical[[#This Row],[Education - new]]-tblPiNHistorical[[#This Row],[Education - old]])/tblPiNHistorical[[#This Row],[Education - old]], 1), "")</f>
        <v>0</v>
      </c>
      <c r="AF124" s="104">
        <f>IFERROR(ROUND((tblPiNHistorical[[#This Row],[Nutrition - new]]-tblPiNHistorical[[#This Row],[Nutrition - old]])/tblPiNHistorical[[#This Row],[Nutrition - old]], 1), "")</f>
        <v>1</v>
      </c>
      <c r="AG124" s="104">
        <f>IFERROR(ROUND((tblPiNHistorical[[#This Row],[Food Security - new]]-tblPiNHistorical[[#This Row],[Food Security - old]])/tblPiNHistorical[[#This Row],[Food Security - old]], 1), "")</f>
        <v>0.5</v>
      </c>
      <c r="AH124" s="104">
        <f>IFERROR(ROUND((tblPiNHistorical[[#This Row],[Health - new]]-tblPiNHistorical[[#This Row],[Health - old]])/tblPiNHistorical[[#This Row],[Health - old]], 1), "")</f>
        <v>0.6</v>
      </c>
      <c r="AI124" s="104">
        <f>IFERROR(ROUND((tblPiNHistorical[[#This Row],[Overarching Protection - new]]-tblPiNHistorical[[#This Row],[Overarching Protection - old]])/tblPiNHistorical[[#This Row],[Overarching Protection - old]], 1), "")</f>
        <v>1.5</v>
      </c>
      <c r="AJ124" s="104">
        <f>IFERROR(ROUND((tblPiNHistorical[[#This Row],[Shelter - new]]-tblPiNHistorical[[#This Row],[Shelter - old]])/tblPiNHistorical[[#This Row],[Shelter - old]], 1), "")</f>
        <v>0.3</v>
      </c>
      <c r="AK124" s="11">
        <f>IFERROR(ROUND((tblPiNHistorical[[#This Row],[WASH - new]]-tblPiNHistorical[[#This Row],[WASH - old]])/tblPiNHistorical[[#This Row],[WASH - old]], 1), "")</f>
        <v>-0.5</v>
      </c>
    </row>
    <row r="125" spans="1:37" ht="17.649999999999999" customHeight="1" x14ac:dyDescent="0.25">
      <c r="A125" s="97" t="s">
        <v>344</v>
      </c>
      <c r="B125" s="65" t="s">
        <v>354</v>
      </c>
      <c r="C125" s="65" t="s">
        <v>239</v>
      </c>
      <c r="D125" s="40" t="s">
        <v>99</v>
      </c>
      <c r="E125" s="37">
        <v>31537</v>
      </c>
      <c r="F125" s="98">
        <v>0</v>
      </c>
      <c r="G125" s="99">
        <v>3469.0051700187428</v>
      </c>
      <c r="H125" s="99">
        <v>1299</v>
      </c>
      <c r="I125" s="99">
        <v>12144</v>
      </c>
      <c r="J125" s="99">
        <v>9203</v>
      </c>
      <c r="K125" s="99">
        <v>2372</v>
      </c>
      <c r="L125" s="100">
        <v>5207</v>
      </c>
      <c r="M125" s="113">
        <v>9976.1329999999998</v>
      </c>
      <c r="N125" s="101">
        <v>317</v>
      </c>
      <c r="O125" s="101">
        <v>4486</v>
      </c>
      <c r="P125" s="99">
        <v>2507</v>
      </c>
      <c r="Q125" s="99">
        <v>19845</v>
      </c>
      <c r="R125" s="99">
        <v>7503</v>
      </c>
      <c r="S125" s="99">
        <v>2811</v>
      </c>
      <c r="T125" s="99">
        <v>0</v>
      </c>
      <c r="U125" s="99">
        <v>12517</v>
      </c>
      <c r="V125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125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1016.9948299812572</v>
      </c>
      <c r="X125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1208</v>
      </c>
      <c r="Y125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7701</v>
      </c>
      <c r="Z125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-1700</v>
      </c>
      <c r="AA125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439</v>
      </c>
      <c r="AB125" s="103" t="str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/>
      </c>
      <c r="AC125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2540.8670000000002</v>
      </c>
      <c r="AD125" s="115" t="str">
        <f>IFERROR(ROUND((tblPiNHistorical[[#This Row],[CCCM - new]] - tblPiNHistorical[[#This Row],[CCCM - old]])/tblPiNHistorical[[#This Row],[CCCM - old]], 1), "")</f>
        <v/>
      </c>
      <c r="AE125" s="104">
        <f>IFERROR(ROUND((tblPiNHistorical[[#This Row],[Education - new]]-tblPiNHistorical[[#This Row],[Education - old]])/tblPiNHistorical[[#This Row],[Education - old]], 1), "")</f>
        <v>0.3</v>
      </c>
      <c r="AF125" s="104">
        <f>IFERROR(ROUND((tblPiNHistorical[[#This Row],[Nutrition - new]]-tblPiNHistorical[[#This Row],[Nutrition - old]])/tblPiNHistorical[[#This Row],[Nutrition - old]], 1), "")</f>
        <v>0.9</v>
      </c>
      <c r="AG125" s="104">
        <f>IFERROR(ROUND((tblPiNHistorical[[#This Row],[Food Security - new]]-tblPiNHistorical[[#This Row],[Food Security - old]])/tblPiNHistorical[[#This Row],[Food Security - old]], 1), "")</f>
        <v>0.6</v>
      </c>
      <c r="AH125" s="104">
        <f>IFERROR(ROUND((tblPiNHistorical[[#This Row],[Health - new]]-tblPiNHistorical[[#This Row],[Health - old]])/tblPiNHistorical[[#This Row],[Health - old]], 1), "")</f>
        <v>-0.2</v>
      </c>
      <c r="AI125" s="104">
        <f>IFERROR(ROUND((tblPiNHistorical[[#This Row],[Overarching Protection - new]]-tblPiNHistorical[[#This Row],[Overarching Protection - old]])/tblPiNHistorical[[#This Row],[Overarching Protection - old]], 1), "")</f>
        <v>0.2</v>
      </c>
      <c r="AJ125" s="104">
        <f>IFERROR(ROUND((tblPiNHistorical[[#This Row],[Shelter - new]]-tblPiNHistorical[[#This Row],[Shelter - old]])/tblPiNHistorical[[#This Row],[Shelter - old]], 1), "")</f>
        <v>-1</v>
      </c>
      <c r="AK125" s="11">
        <f>IFERROR(ROUND((tblPiNHistorical[[#This Row],[WASH - new]]-tblPiNHistorical[[#This Row],[WASH - old]])/tblPiNHistorical[[#This Row],[WASH - old]], 1), "")</f>
        <v>0.3</v>
      </c>
    </row>
    <row r="126" spans="1:37" ht="17.649999999999999" customHeight="1" x14ac:dyDescent="0.25">
      <c r="A126" s="97" t="s">
        <v>344</v>
      </c>
      <c r="B126" s="65" t="s">
        <v>354</v>
      </c>
      <c r="C126" s="65" t="s">
        <v>321</v>
      </c>
      <c r="D126" s="40" t="s">
        <v>181</v>
      </c>
      <c r="E126" s="37">
        <v>120555</v>
      </c>
      <c r="F126" s="98">
        <v>0</v>
      </c>
      <c r="G126" s="99">
        <v>12766.045625914272</v>
      </c>
      <c r="H126" s="99">
        <v>4979</v>
      </c>
      <c r="I126" s="99">
        <v>46540</v>
      </c>
      <c r="J126" s="99">
        <v>33362</v>
      </c>
      <c r="K126" s="99">
        <v>7968</v>
      </c>
      <c r="L126" s="100">
        <v>21898</v>
      </c>
      <c r="M126" s="113">
        <v>37344.789000000004</v>
      </c>
      <c r="N126" s="101">
        <v>3452</v>
      </c>
      <c r="O126" s="101">
        <v>16335</v>
      </c>
      <c r="P126" s="99">
        <v>10003</v>
      </c>
      <c r="Q126" s="99">
        <v>76052</v>
      </c>
      <c r="R126" s="99">
        <v>35236</v>
      </c>
      <c r="S126" s="99">
        <v>26366</v>
      </c>
      <c r="T126" s="99">
        <v>56353</v>
      </c>
      <c r="U126" s="99">
        <v>34976</v>
      </c>
      <c r="V126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126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3568.954374085728</v>
      </c>
      <c r="X126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5024</v>
      </c>
      <c r="Y126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29512</v>
      </c>
      <c r="Z126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1874</v>
      </c>
      <c r="AA126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18398</v>
      </c>
      <c r="AB126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34455</v>
      </c>
      <c r="AC126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-2368.7890000000043</v>
      </c>
      <c r="AD126" s="115" t="str">
        <f>IFERROR(ROUND((tblPiNHistorical[[#This Row],[CCCM - new]] - tblPiNHistorical[[#This Row],[CCCM - old]])/tblPiNHistorical[[#This Row],[CCCM - old]], 1), "")</f>
        <v/>
      </c>
      <c r="AE126" s="104">
        <f>IFERROR(ROUND((tblPiNHistorical[[#This Row],[Education - new]]-tblPiNHistorical[[#This Row],[Education - old]])/tblPiNHistorical[[#This Row],[Education - old]], 1), "")</f>
        <v>0.3</v>
      </c>
      <c r="AF126" s="104">
        <f>IFERROR(ROUND((tblPiNHistorical[[#This Row],[Nutrition - new]]-tblPiNHistorical[[#This Row],[Nutrition - old]])/tblPiNHistorical[[#This Row],[Nutrition - old]], 1), "")</f>
        <v>1</v>
      </c>
      <c r="AG126" s="104">
        <f>IFERROR(ROUND((tblPiNHistorical[[#This Row],[Food Security - new]]-tblPiNHistorical[[#This Row],[Food Security - old]])/tblPiNHistorical[[#This Row],[Food Security - old]], 1), "")</f>
        <v>0.6</v>
      </c>
      <c r="AH126" s="104">
        <f>IFERROR(ROUND((tblPiNHistorical[[#This Row],[Health - new]]-tblPiNHistorical[[#This Row],[Health - old]])/tblPiNHistorical[[#This Row],[Health - old]], 1), "")</f>
        <v>0.1</v>
      </c>
      <c r="AI126" s="104">
        <f>IFERROR(ROUND((tblPiNHistorical[[#This Row],[Overarching Protection - new]]-tblPiNHistorical[[#This Row],[Overarching Protection - old]])/tblPiNHistorical[[#This Row],[Overarching Protection - old]], 1), "")</f>
        <v>2.2999999999999998</v>
      </c>
      <c r="AJ126" s="104">
        <f>IFERROR(ROUND((tblPiNHistorical[[#This Row],[Shelter - new]]-tblPiNHistorical[[#This Row],[Shelter - old]])/tblPiNHistorical[[#This Row],[Shelter - old]], 1), "")</f>
        <v>1.6</v>
      </c>
      <c r="AK126" s="11">
        <f>IFERROR(ROUND((tblPiNHistorical[[#This Row],[WASH - new]]-tblPiNHistorical[[#This Row],[WASH - old]])/tblPiNHistorical[[#This Row],[WASH - old]], 1), "")</f>
        <v>-0.1</v>
      </c>
    </row>
    <row r="127" spans="1:37" ht="17.649999999999999" customHeight="1" x14ac:dyDescent="0.25">
      <c r="A127" s="110" t="s">
        <v>344</v>
      </c>
      <c r="B127" s="81" t="s">
        <v>354</v>
      </c>
      <c r="C127" s="81" t="s">
        <v>204</v>
      </c>
      <c r="D127" s="81" t="s">
        <v>64</v>
      </c>
      <c r="E127" s="82">
        <v>31659</v>
      </c>
      <c r="F127" s="71">
        <v>0</v>
      </c>
      <c r="G127" s="66">
        <v>2738.9600526138283</v>
      </c>
      <c r="H127" s="66">
        <v>1293</v>
      </c>
      <c r="I127" s="66">
        <v>12087</v>
      </c>
      <c r="J127" s="66">
        <v>594</v>
      </c>
      <c r="K127" s="66">
        <v>2936</v>
      </c>
      <c r="L127" s="72">
        <v>6852</v>
      </c>
      <c r="M127" s="73">
        <v>8542.6580000000013</v>
      </c>
      <c r="N127" s="76">
        <v>1100</v>
      </c>
      <c r="O127" s="76">
        <v>4533</v>
      </c>
      <c r="P127" s="66">
        <v>2482</v>
      </c>
      <c r="Q127" s="66">
        <v>19751</v>
      </c>
      <c r="R127" s="66">
        <v>9267</v>
      </c>
      <c r="S127" s="66">
        <v>6805</v>
      </c>
      <c r="T127" s="66">
        <v>7732</v>
      </c>
      <c r="U127" s="66">
        <v>47186</v>
      </c>
      <c r="V127" s="83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127" s="84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1794.0399473861717</v>
      </c>
      <c r="X127" s="84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1189</v>
      </c>
      <c r="Y127" s="84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7664</v>
      </c>
      <c r="Z127" s="84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8673</v>
      </c>
      <c r="AA127" s="84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3869</v>
      </c>
      <c r="AB127" s="84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880</v>
      </c>
      <c r="AC127" s="126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38643.341999999997</v>
      </c>
      <c r="AD127" s="125" t="str">
        <f>IFERROR(ROUND((tblPiNHistorical[[#This Row],[CCCM - new]] - tblPiNHistorical[[#This Row],[CCCM - old]])/tblPiNHistorical[[#This Row],[CCCM - old]], 1), "")</f>
        <v/>
      </c>
      <c r="AE127" s="85">
        <f>IFERROR(ROUND((tblPiNHistorical[[#This Row],[Education - new]]-tblPiNHistorical[[#This Row],[Education - old]])/tblPiNHistorical[[#This Row],[Education - old]], 1), "")</f>
        <v>0.7</v>
      </c>
      <c r="AF127" s="85">
        <f>IFERROR(ROUND((tblPiNHistorical[[#This Row],[Nutrition - new]]-tblPiNHistorical[[#This Row],[Nutrition - old]])/tblPiNHistorical[[#This Row],[Nutrition - old]], 1), "")</f>
        <v>0.9</v>
      </c>
      <c r="AG127" s="85">
        <f>IFERROR(ROUND((tblPiNHistorical[[#This Row],[Food Security - new]]-tblPiNHistorical[[#This Row],[Food Security - old]])/tblPiNHistorical[[#This Row],[Food Security - old]], 1), "")</f>
        <v>0.6</v>
      </c>
      <c r="AH127" s="85">
        <f>IFERROR(ROUND((tblPiNHistorical[[#This Row],[Health - new]]-tblPiNHistorical[[#This Row],[Health - old]])/tblPiNHistorical[[#This Row],[Health - old]], 1), "")</f>
        <v>14.6</v>
      </c>
      <c r="AI127" s="85">
        <f>IFERROR(ROUND((tblPiNHistorical[[#This Row],[Overarching Protection - new]]-tblPiNHistorical[[#This Row],[Overarching Protection - old]])/tblPiNHistorical[[#This Row],[Overarching Protection - old]], 1), "")</f>
        <v>1.3</v>
      </c>
      <c r="AJ127" s="85">
        <f>IFERROR(ROUND((tblPiNHistorical[[#This Row],[Shelter - new]]-tblPiNHistorical[[#This Row],[Shelter - old]])/tblPiNHistorical[[#This Row],[Shelter - old]], 1), "")</f>
        <v>0.1</v>
      </c>
      <c r="AK127" s="77">
        <f>IFERROR(ROUND((tblPiNHistorical[[#This Row],[WASH - new]]-tblPiNHistorical[[#This Row],[WASH - old]])/tblPiNHistorical[[#This Row],[WASH - old]], 1), "")</f>
        <v>4.5</v>
      </c>
    </row>
    <row r="128" spans="1:37" ht="17.649999999999999" customHeight="1" x14ac:dyDescent="0.25">
      <c r="A128" s="97" t="s">
        <v>344</v>
      </c>
      <c r="B128" s="65" t="s">
        <v>354</v>
      </c>
      <c r="C128" s="65" t="s">
        <v>293</v>
      </c>
      <c r="D128" s="40" t="s">
        <v>153</v>
      </c>
      <c r="E128" s="37">
        <v>36005</v>
      </c>
      <c r="F128" s="98">
        <v>0</v>
      </c>
      <c r="G128" s="99">
        <v>4036.4849133448988</v>
      </c>
      <c r="H128" s="99">
        <v>1449</v>
      </c>
      <c r="I128" s="99">
        <v>15238</v>
      </c>
      <c r="J128" s="99">
        <v>102</v>
      </c>
      <c r="K128" s="99">
        <v>3502</v>
      </c>
      <c r="L128" s="100">
        <v>3029</v>
      </c>
      <c r="M128" s="113">
        <v>9087.75</v>
      </c>
      <c r="N128" s="101">
        <v>1580</v>
      </c>
      <c r="O128" s="101">
        <v>5113</v>
      </c>
      <c r="P128" s="99">
        <v>2795</v>
      </c>
      <c r="Q128" s="99">
        <v>22134</v>
      </c>
      <c r="R128" s="99">
        <v>10452</v>
      </c>
      <c r="S128" s="99">
        <v>3707</v>
      </c>
      <c r="T128" s="99">
        <v>20302</v>
      </c>
      <c r="U128" s="99">
        <v>7360</v>
      </c>
      <c r="V128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128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1076.5150866551012</v>
      </c>
      <c r="X128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1346</v>
      </c>
      <c r="Y128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6896</v>
      </c>
      <c r="Z128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10350</v>
      </c>
      <c r="AA128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205</v>
      </c>
      <c r="AB128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17273</v>
      </c>
      <c r="AC128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-1727.75</v>
      </c>
      <c r="AD128" s="115" t="str">
        <f>IFERROR(ROUND((tblPiNHistorical[[#This Row],[CCCM - new]] - tblPiNHistorical[[#This Row],[CCCM - old]])/tblPiNHistorical[[#This Row],[CCCM - old]], 1), "")</f>
        <v/>
      </c>
      <c r="AE128" s="104">
        <f>IFERROR(ROUND((tblPiNHistorical[[#This Row],[Education - new]]-tblPiNHistorical[[#This Row],[Education - old]])/tblPiNHistorical[[#This Row],[Education - old]], 1), "")</f>
        <v>0.3</v>
      </c>
      <c r="AF128" s="104">
        <f>IFERROR(ROUND((tblPiNHistorical[[#This Row],[Nutrition - new]]-tblPiNHistorical[[#This Row],[Nutrition - old]])/tblPiNHistorical[[#This Row],[Nutrition - old]], 1), "")</f>
        <v>0.9</v>
      </c>
      <c r="AG128" s="104">
        <f>IFERROR(ROUND((tblPiNHistorical[[#This Row],[Food Security - new]]-tblPiNHistorical[[#This Row],[Food Security - old]])/tblPiNHistorical[[#This Row],[Food Security - old]], 1), "")</f>
        <v>0.5</v>
      </c>
      <c r="AH128" s="104">
        <f>IFERROR(ROUND((tblPiNHistorical[[#This Row],[Health - new]]-tblPiNHistorical[[#This Row],[Health - old]])/tblPiNHistorical[[#This Row],[Health - old]], 1), "")</f>
        <v>101.5</v>
      </c>
      <c r="AI128" s="104">
        <f>IFERROR(ROUND((tblPiNHistorical[[#This Row],[Overarching Protection - new]]-tblPiNHistorical[[#This Row],[Overarching Protection - old]])/tblPiNHistorical[[#This Row],[Overarching Protection - old]], 1), "")</f>
        <v>0.1</v>
      </c>
      <c r="AJ128" s="104">
        <f>IFERROR(ROUND((tblPiNHistorical[[#This Row],[Shelter - new]]-tblPiNHistorical[[#This Row],[Shelter - old]])/tblPiNHistorical[[#This Row],[Shelter - old]], 1), "")</f>
        <v>5.7</v>
      </c>
      <c r="AK128" s="11">
        <f>IFERROR(ROUND((tblPiNHistorical[[#This Row],[WASH - new]]-tblPiNHistorical[[#This Row],[WASH - old]])/tblPiNHistorical[[#This Row],[WASH - old]], 1), "")</f>
        <v>-0.2</v>
      </c>
    </row>
    <row r="129" spans="1:37" ht="17.649999999999999" customHeight="1" x14ac:dyDescent="0.25">
      <c r="A129" s="97" t="s">
        <v>344</v>
      </c>
      <c r="B129" s="65" t="s">
        <v>354</v>
      </c>
      <c r="C129" s="65" t="s">
        <v>215</v>
      </c>
      <c r="D129" s="40" t="s">
        <v>75</v>
      </c>
      <c r="E129" s="37">
        <v>28588</v>
      </c>
      <c r="F129" s="98">
        <v>0</v>
      </c>
      <c r="G129" s="99">
        <v>3802.6306252234072</v>
      </c>
      <c r="H129" s="99">
        <v>1167</v>
      </c>
      <c r="I129" s="99">
        <v>12277</v>
      </c>
      <c r="J129" s="99">
        <v>4780</v>
      </c>
      <c r="K129" s="99">
        <v>2593</v>
      </c>
      <c r="L129" s="100">
        <v>0</v>
      </c>
      <c r="M129" s="113">
        <v>2967.9</v>
      </c>
      <c r="N129" s="101">
        <v>651</v>
      </c>
      <c r="O129" s="101">
        <v>4215</v>
      </c>
      <c r="P129" s="99">
        <v>2260</v>
      </c>
      <c r="Q129" s="99">
        <v>17833</v>
      </c>
      <c r="R129" s="99">
        <v>7339</v>
      </c>
      <c r="S129" s="99">
        <v>3018</v>
      </c>
      <c r="T129" s="99">
        <v>0</v>
      </c>
      <c r="U129" s="99">
        <v>26600</v>
      </c>
      <c r="V129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129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412.36937477659285</v>
      </c>
      <c r="X129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1093</v>
      </c>
      <c r="Y129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5556</v>
      </c>
      <c r="Z129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2559</v>
      </c>
      <c r="AA129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425</v>
      </c>
      <c r="AB129" s="103" t="str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/>
      </c>
      <c r="AC129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23632.1</v>
      </c>
      <c r="AD129" s="115" t="str">
        <f>IFERROR(ROUND((tblPiNHistorical[[#This Row],[CCCM - new]] - tblPiNHistorical[[#This Row],[CCCM - old]])/tblPiNHistorical[[#This Row],[CCCM - old]], 1), "")</f>
        <v/>
      </c>
      <c r="AE129" s="104">
        <f>IFERROR(ROUND((tblPiNHistorical[[#This Row],[Education - new]]-tblPiNHistorical[[#This Row],[Education - old]])/tblPiNHistorical[[#This Row],[Education - old]], 1), "")</f>
        <v>0.1</v>
      </c>
      <c r="AF129" s="104">
        <f>IFERROR(ROUND((tblPiNHistorical[[#This Row],[Nutrition - new]]-tblPiNHistorical[[#This Row],[Nutrition - old]])/tblPiNHistorical[[#This Row],[Nutrition - old]], 1), "")</f>
        <v>0.9</v>
      </c>
      <c r="AG129" s="104">
        <f>IFERROR(ROUND((tblPiNHistorical[[#This Row],[Food Security - new]]-tblPiNHistorical[[#This Row],[Food Security - old]])/tblPiNHistorical[[#This Row],[Food Security - old]], 1), "")</f>
        <v>0.5</v>
      </c>
      <c r="AH129" s="104">
        <f>IFERROR(ROUND((tblPiNHistorical[[#This Row],[Health - new]]-tblPiNHistorical[[#This Row],[Health - old]])/tblPiNHistorical[[#This Row],[Health - old]], 1), "")</f>
        <v>0.5</v>
      </c>
      <c r="AI129" s="104">
        <f>IFERROR(ROUND((tblPiNHistorical[[#This Row],[Overarching Protection - new]]-tblPiNHistorical[[#This Row],[Overarching Protection - old]])/tblPiNHistorical[[#This Row],[Overarching Protection - old]], 1), "")</f>
        <v>0.2</v>
      </c>
      <c r="AJ129" s="104" t="str">
        <f>IFERROR(ROUND((tblPiNHistorical[[#This Row],[Shelter - new]]-tblPiNHistorical[[#This Row],[Shelter - old]])/tblPiNHistorical[[#This Row],[Shelter - old]], 1), "")</f>
        <v/>
      </c>
      <c r="AK129" s="11">
        <f>IFERROR(ROUND((tblPiNHistorical[[#This Row],[WASH - new]]-tblPiNHistorical[[#This Row],[WASH - old]])/tblPiNHistorical[[#This Row],[WASH - old]], 1), "")</f>
        <v>8</v>
      </c>
    </row>
    <row r="130" spans="1:37" ht="17.649999999999999" customHeight="1" x14ac:dyDescent="0.25">
      <c r="A130" s="97" t="s">
        <v>344</v>
      </c>
      <c r="B130" s="65" t="s">
        <v>354</v>
      </c>
      <c r="C130" s="65" t="s">
        <v>223</v>
      </c>
      <c r="D130" s="40" t="s">
        <v>83</v>
      </c>
      <c r="E130" s="37">
        <v>37868</v>
      </c>
      <c r="F130" s="98">
        <v>0</v>
      </c>
      <c r="G130" s="99">
        <v>4611.9596750683704</v>
      </c>
      <c r="H130" s="99">
        <v>1542</v>
      </c>
      <c r="I130" s="99">
        <v>16212</v>
      </c>
      <c r="J130" s="99">
        <v>3047</v>
      </c>
      <c r="K130" s="99">
        <v>2942</v>
      </c>
      <c r="L130" s="100">
        <v>9691</v>
      </c>
      <c r="M130" s="113">
        <v>12930.762999999999</v>
      </c>
      <c r="N130" s="101">
        <v>1031</v>
      </c>
      <c r="O130" s="101">
        <v>5444</v>
      </c>
      <c r="P130" s="99">
        <v>2998</v>
      </c>
      <c r="Q130" s="99">
        <v>23550</v>
      </c>
      <c r="R130" s="99">
        <v>10032</v>
      </c>
      <c r="S130" s="99">
        <v>3554</v>
      </c>
      <c r="T130" s="99">
        <v>17238</v>
      </c>
      <c r="U130" s="99">
        <v>5377</v>
      </c>
      <c r="V130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130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832.04032493162958</v>
      </c>
      <c r="X130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1456</v>
      </c>
      <c r="Y130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7338</v>
      </c>
      <c r="Z130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6985</v>
      </c>
      <c r="AA130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612</v>
      </c>
      <c r="AB130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7547</v>
      </c>
      <c r="AC130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-7553.762999999999</v>
      </c>
      <c r="AD130" s="115" t="str">
        <f>IFERROR(ROUND((tblPiNHistorical[[#This Row],[CCCM - new]] - tblPiNHistorical[[#This Row],[CCCM - old]])/tblPiNHistorical[[#This Row],[CCCM - old]], 1), "")</f>
        <v/>
      </c>
      <c r="AE130" s="104">
        <f>IFERROR(ROUND((tblPiNHistorical[[#This Row],[Education - new]]-tblPiNHistorical[[#This Row],[Education - old]])/tblPiNHistorical[[#This Row],[Education - old]], 1), "")</f>
        <v>0.2</v>
      </c>
      <c r="AF130" s="104">
        <f>IFERROR(ROUND((tblPiNHistorical[[#This Row],[Nutrition - new]]-tblPiNHistorical[[#This Row],[Nutrition - old]])/tblPiNHistorical[[#This Row],[Nutrition - old]], 1), "")</f>
        <v>0.9</v>
      </c>
      <c r="AG130" s="104">
        <f>IFERROR(ROUND((tblPiNHistorical[[#This Row],[Food Security - new]]-tblPiNHistorical[[#This Row],[Food Security - old]])/tblPiNHistorical[[#This Row],[Food Security - old]], 1), "")</f>
        <v>0.5</v>
      </c>
      <c r="AH130" s="104">
        <f>IFERROR(ROUND((tblPiNHistorical[[#This Row],[Health - new]]-tblPiNHistorical[[#This Row],[Health - old]])/tblPiNHistorical[[#This Row],[Health - old]], 1), "")</f>
        <v>2.2999999999999998</v>
      </c>
      <c r="AI130" s="104">
        <f>IFERROR(ROUND((tblPiNHistorical[[#This Row],[Overarching Protection - new]]-tblPiNHistorical[[#This Row],[Overarching Protection - old]])/tblPiNHistorical[[#This Row],[Overarching Protection - old]], 1), "")</f>
        <v>0.2</v>
      </c>
      <c r="AJ130" s="104">
        <f>IFERROR(ROUND((tblPiNHistorical[[#This Row],[Shelter - new]]-tblPiNHistorical[[#This Row],[Shelter - old]])/tblPiNHistorical[[#This Row],[Shelter - old]], 1), "")</f>
        <v>0.8</v>
      </c>
      <c r="AK130" s="11">
        <f>IFERROR(ROUND((tblPiNHistorical[[#This Row],[WASH - new]]-tblPiNHistorical[[#This Row],[WASH - old]])/tblPiNHistorical[[#This Row],[WASH - old]], 1), "")</f>
        <v>-0.6</v>
      </c>
    </row>
    <row r="131" spans="1:37" ht="17.649999999999999" customHeight="1" x14ac:dyDescent="0.25">
      <c r="A131" s="97" t="s">
        <v>344</v>
      </c>
      <c r="B131" s="65" t="s">
        <v>354</v>
      </c>
      <c r="C131" s="65" t="s">
        <v>270</v>
      </c>
      <c r="D131" s="40" t="s">
        <v>130</v>
      </c>
      <c r="E131" s="37">
        <v>156750</v>
      </c>
      <c r="F131" s="98">
        <v>0</v>
      </c>
      <c r="G131" s="99">
        <v>28174.27826925819</v>
      </c>
      <c r="H131" s="99">
        <v>6351</v>
      </c>
      <c r="I131" s="99">
        <v>66787</v>
      </c>
      <c r="J131" s="99">
        <v>63512</v>
      </c>
      <c r="K131" s="99">
        <v>16708</v>
      </c>
      <c r="L131" s="100">
        <v>45541</v>
      </c>
      <c r="M131" s="113">
        <v>84998.377499999988</v>
      </c>
      <c r="N131" s="101">
        <v>5364</v>
      </c>
      <c r="O131" s="101">
        <v>21503</v>
      </c>
      <c r="P131" s="99">
        <v>13315</v>
      </c>
      <c r="Q131" s="99">
        <v>97012</v>
      </c>
      <c r="R131" s="99">
        <v>43603</v>
      </c>
      <c r="S131" s="99">
        <v>21213</v>
      </c>
      <c r="T131" s="99">
        <v>53924</v>
      </c>
      <c r="U131" s="99">
        <v>18436</v>
      </c>
      <c r="V131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131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-6671.2782692581895</v>
      </c>
      <c r="X131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6964</v>
      </c>
      <c r="Y131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30225</v>
      </c>
      <c r="Z131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-19909</v>
      </c>
      <c r="AA131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4505</v>
      </c>
      <c r="AB131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8383</v>
      </c>
      <c r="AC131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-66562.377499999988</v>
      </c>
      <c r="AD131" s="115" t="str">
        <f>IFERROR(ROUND((tblPiNHistorical[[#This Row],[CCCM - new]] - tblPiNHistorical[[#This Row],[CCCM - old]])/tblPiNHistorical[[#This Row],[CCCM - old]], 1), "")</f>
        <v/>
      </c>
      <c r="AE131" s="104">
        <f>IFERROR(ROUND((tblPiNHistorical[[#This Row],[Education - new]]-tblPiNHistorical[[#This Row],[Education - old]])/tblPiNHistorical[[#This Row],[Education - old]], 1), "")</f>
        <v>-0.2</v>
      </c>
      <c r="AF131" s="104">
        <f>IFERROR(ROUND((tblPiNHistorical[[#This Row],[Nutrition - new]]-tblPiNHistorical[[#This Row],[Nutrition - old]])/tblPiNHistorical[[#This Row],[Nutrition - old]], 1), "")</f>
        <v>1.1000000000000001</v>
      </c>
      <c r="AG131" s="104">
        <f>IFERROR(ROUND((tblPiNHistorical[[#This Row],[Food Security - new]]-tblPiNHistorical[[#This Row],[Food Security - old]])/tblPiNHistorical[[#This Row],[Food Security - old]], 1), "")</f>
        <v>0.5</v>
      </c>
      <c r="AH131" s="104">
        <f>IFERROR(ROUND((tblPiNHistorical[[#This Row],[Health - new]]-tblPiNHistorical[[#This Row],[Health - old]])/tblPiNHistorical[[#This Row],[Health - old]], 1), "")</f>
        <v>-0.3</v>
      </c>
      <c r="AI131" s="104">
        <f>IFERROR(ROUND((tblPiNHistorical[[#This Row],[Overarching Protection - new]]-tblPiNHistorical[[#This Row],[Overarching Protection - old]])/tblPiNHistorical[[#This Row],[Overarching Protection - old]], 1), "")</f>
        <v>0.3</v>
      </c>
      <c r="AJ131" s="104">
        <f>IFERROR(ROUND((tblPiNHistorical[[#This Row],[Shelter - new]]-tblPiNHistorical[[#This Row],[Shelter - old]])/tblPiNHistorical[[#This Row],[Shelter - old]], 1), "")</f>
        <v>0.2</v>
      </c>
      <c r="AK131" s="11">
        <f>IFERROR(ROUND((tblPiNHistorical[[#This Row],[WASH - new]]-tblPiNHistorical[[#This Row],[WASH - old]])/tblPiNHistorical[[#This Row],[WASH - old]], 1), "")</f>
        <v>-0.8</v>
      </c>
    </row>
    <row r="132" spans="1:37" ht="17.649999999999999" customHeight="1" x14ac:dyDescent="0.25">
      <c r="A132" s="97" t="s">
        <v>346</v>
      </c>
      <c r="B132" s="65" t="s">
        <v>356</v>
      </c>
      <c r="C132" s="65" t="s">
        <v>291</v>
      </c>
      <c r="D132" s="40" t="s">
        <v>151</v>
      </c>
      <c r="E132" s="37">
        <v>70617</v>
      </c>
      <c r="F132" s="98">
        <v>0</v>
      </c>
      <c r="G132" s="99">
        <v>2129.8173881817274</v>
      </c>
      <c r="H132" s="99">
        <v>558</v>
      </c>
      <c r="I132" s="99">
        <v>16292</v>
      </c>
      <c r="J132" s="99">
        <v>17796</v>
      </c>
      <c r="K132" s="99">
        <v>6850</v>
      </c>
      <c r="L132" s="100">
        <v>5654</v>
      </c>
      <c r="M132" s="113">
        <v>16974.852599999998</v>
      </c>
      <c r="N132" s="101">
        <v>9461</v>
      </c>
      <c r="O132" s="101">
        <v>4529</v>
      </c>
      <c r="P132" s="99">
        <v>6576</v>
      </c>
      <c r="Q132" s="99">
        <v>58834</v>
      </c>
      <c r="R132" s="99">
        <v>30464</v>
      </c>
      <c r="S132" s="99">
        <v>10945</v>
      </c>
      <c r="T132" s="99">
        <v>26578</v>
      </c>
      <c r="U132" s="99">
        <v>34178</v>
      </c>
      <c r="V132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132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2399.1826118182726</v>
      </c>
      <c r="X132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6018</v>
      </c>
      <c r="Y132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42542</v>
      </c>
      <c r="Z132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12668</v>
      </c>
      <c r="AA132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4095</v>
      </c>
      <c r="AB132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20924</v>
      </c>
      <c r="AC132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17203.147400000002</v>
      </c>
      <c r="AD132" s="115" t="str">
        <f>IFERROR(ROUND((tblPiNHistorical[[#This Row],[CCCM - new]] - tblPiNHistorical[[#This Row],[CCCM - old]])/tblPiNHistorical[[#This Row],[CCCM - old]], 1), "")</f>
        <v/>
      </c>
      <c r="AE132" s="104">
        <f>IFERROR(ROUND((tblPiNHistorical[[#This Row],[Education - new]]-tblPiNHistorical[[#This Row],[Education - old]])/tblPiNHistorical[[#This Row],[Education - old]], 1), "")</f>
        <v>1.1000000000000001</v>
      </c>
      <c r="AF132" s="104">
        <f>IFERROR(ROUND((tblPiNHistorical[[#This Row],[Nutrition - new]]-tblPiNHistorical[[#This Row],[Nutrition - old]])/tblPiNHistorical[[#This Row],[Nutrition - old]], 1), "")</f>
        <v>10.8</v>
      </c>
      <c r="AG132" s="104">
        <f>IFERROR(ROUND((tblPiNHistorical[[#This Row],[Food Security - new]]-tblPiNHistorical[[#This Row],[Food Security - old]])/tblPiNHistorical[[#This Row],[Food Security - old]], 1), "")</f>
        <v>2.6</v>
      </c>
      <c r="AH132" s="104">
        <f>IFERROR(ROUND((tblPiNHistorical[[#This Row],[Health - new]]-tblPiNHistorical[[#This Row],[Health - old]])/tblPiNHistorical[[#This Row],[Health - old]], 1), "")</f>
        <v>0.7</v>
      </c>
      <c r="AI132" s="104">
        <f>IFERROR(ROUND((tblPiNHistorical[[#This Row],[Overarching Protection - new]]-tblPiNHistorical[[#This Row],[Overarching Protection - old]])/tblPiNHistorical[[#This Row],[Overarching Protection - old]], 1), "")</f>
        <v>0.6</v>
      </c>
      <c r="AJ132" s="104">
        <f>IFERROR(ROUND((tblPiNHistorical[[#This Row],[Shelter - new]]-tblPiNHistorical[[#This Row],[Shelter - old]])/tblPiNHistorical[[#This Row],[Shelter - old]], 1), "")</f>
        <v>3.7</v>
      </c>
      <c r="AK132" s="11">
        <f>IFERROR(ROUND((tblPiNHistorical[[#This Row],[WASH - new]]-tblPiNHistorical[[#This Row],[WASH - old]])/tblPiNHistorical[[#This Row],[WASH - old]], 1), "")</f>
        <v>1</v>
      </c>
    </row>
    <row r="133" spans="1:37" ht="17.649999999999999" customHeight="1" x14ac:dyDescent="0.25">
      <c r="A133" s="97" t="s">
        <v>346</v>
      </c>
      <c r="B133" s="65" t="s">
        <v>356</v>
      </c>
      <c r="C133" s="65" t="s">
        <v>305</v>
      </c>
      <c r="D133" s="40" t="s">
        <v>165</v>
      </c>
      <c r="E133" s="37">
        <v>34943</v>
      </c>
      <c r="F133" s="98">
        <v>0</v>
      </c>
      <c r="G133" s="99">
        <v>937.77650046701649</v>
      </c>
      <c r="H133" s="99">
        <v>255</v>
      </c>
      <c r="I133" s="99">
        <v>9993</v>
      </c>
      <c r="J133" s="99">
        <v>6842</v>
      </c>
      <c r="K133" s="99">
        <v>3015</v>
      </c>
      <c r="L133" s="100">
        <v>7967</v>
      </c>
      <c r="M133" s="113">
        <v>8253.2939999999999</v>
      </c>
      <c r="N133" s="101">
        <v>8297</v>
      </c>
      <c r="O133" s="101">
        <v>2633</v>
      </c>
      <c r="P133" s="99">
        <v>2828</v>
      </c>
      <c r="Q133" s="99">
        <v>18664</v>
      </c>
      <c r="R133" s="99">
        <v>20282</v>
      </c>
      <c r="S133" s="99">
        <v>5918</v>
      </c>
      <c r="T133" s="99">
        <v>18108</v>
      </c>
      <c r="U133" s="99">
        <v>20136</v>
      </c>
      <c r="V133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133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1695.2234995329836</v>
      </c>
      <c r="X133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2573</v>
      </c>
      <c r="Y133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8671</v>
      </c>
      <c r="Z133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13440</v>
      </c>
      <c r="AA133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2903</v>
      </c>
      <c r="AB133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10141</v>
      </c>
      <c r="AC133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11882.706</v>
      </c>
      <c r="AD133" s="115" t="str">
        <f>IFERROR(ROUND((tblPiNHistorical[[#This Row],[CCCM - new]] - tblPiNHistorical[[#This Row],[CCCM - old]])/tblPiNHistorical[[#This Row],[CCCM - old]], 1), "")</f>
        <v/>
      </c>
      <c r="AE133" s="104">
        <f>IFERROR(ROUND((tblPiNHistorical[[#This Row],[Education - new]]-tblPiNHistorical[[#This Row],[Education - old]])/tblPiNHistorical[[#This Row],[Education - old]], 1), "")</f>
        <v>1.8</v>
      </c>
      <c r="AF133" s="104">
        <f>IFERROR(ROUND((tblPiNHistorical[[#This Row],[Nutrition - new]]-tblPiNHistorical[[#This Row],[Nutrition - old]])/tblPiNHistorical[[#This Row],[Nutrition - old]], 1), "")</f>
        <v>10.1</v>
      </c>
      <c r="AG133" s="104">
        <f>IFERROR(ROUND((tblPiNHistorical[[#This Row],[Food Security - new]]-tblPiNHistorical[[#This Row],[Food Security - old]])/tblPiNHistorical[[#This Row],[Food Security - old]], 1), "")</f>
        <v>0.9</v>
      </c>
      <c r="AH133" s="104">
        <f>IFERROR(ROUND((tblPiNHistorical[[#This Row],[Health - new]]-tblPiNHistorical[[#This Row],[Health - old]])/tblPiNHistorical[[#This Row],[Health - old]], 1), "")</f>
        <v>2</v>
      </c>
      <c r="AI133" s="104">
        <f>IFERROR(ROUND((tblPiNHistorical[[#This Row],[Overarching Protection - new]]-tblPiNHistorical[[#This Row],[Overarching Protection - old]])/tblPiNHistorical[[#This Row],[Overarching Protection - old]], 1), "")</f>
        <v>1</v>
      </c>
      <c r="AJ133" s="104">
        <f>IFERROR(ROUND((tblPiNHistorical[[#This Row],[Shelter - new]]-tblPiNHistorical[[#This Row],[Shelter - old]])/tblPiNHistorical[[#This Row],[Shelter - old]], 1), "")</f>
        <v>1.3</v>
      </c>
      <c r="AK133" s="11">
        <f>IFERROR(ROUND((tblPiNHistorical[[#This Row],[WASH - new]]-tblPiNHistorical[[#This Row],[WASH - old]])/tblPiNHistorical[[#This Row],[WASH - old]], 1), "")</f>
        <v>1.4</v>
      </c>
    </row>
    <row r="134" spans="1:37" ht="17.649999999999999" customHeight="1" x14ac:dyDescent="0.25">
      <c r="A134" s="97" t="s">
        <v>346</v>
      </c>
      <c r="B134" s="65" t="s">
        <v>356</v>
      </c>
      <c r="C134" s="65" t="s">
        <v>256</v>
      </c>
      <c r="D134" s="40" t="s">
        <v>116</v>
      </c>
      <c r="E134" s="37">
        <v>38319</v>
      </c>
      <c r="F134" s="98">
        <v>0</v>
      </c>
      <c r="G134" s="99">
        <v>994.83884385512761</v>
      </c>
      <c r="H134" s="99">
        <v>915</v>
      </c>
      <c r="I134" s="99">
        <v>13365</v>
      </c>
      <c r="J134" s="99">
        <v>11734</v>
      </c>
      <c r="K134" s="99">
        <v>3321</v>
      </c>
      <c r="L134" s="100">
        <v>3381</v>
      </c>
      <c r="M134" s="113">
        <v>19126.868999999999</v>
      </c>
      <c r="N134" s="101">
        <v>5919</v>
      </c>
      <c r="O134" s="101">
        <v>2553</v>
      </c>
      <c r="P134" s="99">
        <v>3208</v>
      </c>
      <c r="Q134" s="99">
        <v>21834</v>
      </c>
      <c r="R134" s="99">
        <v>17266</v>
      </c>
      <c r="S134" s="99">
        <v>5878</v>
      </c>
      <c r="T134" s="99">
        <v>17526</v>
      </c>
      <c r="U134" s="99">
        <v>15146</v>
      </c>
      <c r="V134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134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1558.1611561448724</v>
      </c>
      <c r="X134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2293</v>
      </c>
      <c r="Y134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8469</v>
      </c>
      <c r="Z134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5532</v>
      </c>
      <c r="AA134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2557</v>
      </c>
      <c r="AB134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14145</v>
      </c>
      <c r="AC134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-3980.8689999999988</v>
      </c>
      <c r="AD134" s="115" t="str">
        <f>IFERROR(ROUND((tblPiNHistorical[[#This Row],[CCCM - new]] - tblPiNHistorical[[#This Row],[CCCM - old]])/tblPiNHistorical[[#This Row],[CCCM - old]], 1), "")</f>
        <v/>
      </c>
      <c r="AE134" s="104">
        <f>IFERROR(ROUND((tblPiNHistorical[[#This Row],[Education - new]]-tblPiNHistorical[[#This Row],[Education - old]])/tblPiNHistorical[[#This Row],[Education - old]], 1), "")</f>
        <v>1.6</v>
      </c>
      <c r="AF134" s="104">
        <f>IFERROR(ROUND((tblPiNHistorical[[#This Row],[Nutrition - new]]-tblPiNHistorical[[#This Row],[Nutrition - old]])/tblPiNHistorical[[#This Row],[Nutrition - old]], 1), "")</f>
        <v>2.5</v>
      </c>
      <c r="AG134" s="104">
        <f>IFERROR(ROUND((tblPiNHistorical[[#This Row],[Food Security - new]]-tblPiNHistorical[[#This Row],[Food Security - old]])/tblPiNHistorical[[#This Row],[Food Security - old]], 1), "")</f>
        <v>0.6</v>
      </c>
      <c r="AH134" s="104">
        <f>IFERROR(ROUND((tblPiNHistorical[[#This Row],[Health - new]]-tblPiNHistorical[[#This Row],[Health - old]])/tblPiNHistorical[[#This Row],[Health - old]], 1), "")</f>
        <v>0.5</v>
      </c>
      <c r="AI134" s="104">
        <f>IFERROR(ROUND((tblPiNHistorical[[#This Row],[Overarching Protection - new]]-tblPiNHistorical[[#This Row],[Overarching Protection - old]])/tblPiNHistorical[[#This Row],[Overarching Protection - old]], 1), "")</f>
        <v>0.8</v>
      </c>
      <c r="AJ134" s="104">
        <f>IFERROR(ROUND((tblPiNHistorical[[#This Row],[Shelter - new]]-tblPiNHistorical[[#This Row],[Shelter - old]])/tblPiNHistorical[[#This Row],[Shelter - old]], 1), "")</f>
        <v>4.2</v>
      </c>
      <c r="AK134" s="11">
        <f>IFERROR(ROUND((tblPiNHistorical[[#This Row],[WASH - new]]-tblPiNHistorical[[#This Row],[WASH - old]])/tblPiNHistorical[[#This Row],[WASH - old]], 1), "")</f>
        <v>-0.2</v>
      </c>
    </row>
    <row r="135" spans="1:37" ht="17.649999999999999" customHeight="1" x14ac:dyDescent="0.25">
      <c r="A135" s="97" t="s">
        <v>346</v>
      </c>
      <c r="B135" s="65" t="s">
        <v>356</v>
      </c>
      <c r="C135" s="65" t="s">
        <v>298</v>
      </c>
      <c r="D135" s="40" t="s">
        <v>158</v>
      </c>
      <c r="E135" s="37">
        <v>19644</v>
      </c>
      <c r="F135" s="98">
        <v>0</v>
      </c>
      <c r="G135" s="99">
        <v>1065.3206965702002</v>
      </c>
      <c r="H135" s="99">
        <v>475</v>
      </c>
      <c r="I135" s="99">
        <v>6933</v>
      </c>
      <c r="J135" s="99">
        <v>5270</v>
      </c>
      <c r="K135" s="99">
        <v>3429</v>
      </c>
      <c r="L135" s="100">
        <v>5430</v>
      </c>
      <c r="M135" s="113">
        <v>11765</v>
      </c>
      <c r="N135" s="101">
        <v>2721</v>
      </c>
      <c r="O135" s="101">
        <v>1274</v>
      </c>
      <c r="P135" s="99">
        <v>1632</v>
      </c>
      <c r="Q135" s="99">
        <v>11329</v>
      </c>
      <c r="R135" s="99">
        <v>8500</v>
      </c>
      <c r="S135" s="99">
        <v>4718</v>
      </c>
      <c r="T135" s="99">
        <v>1814</v>
      </c>
      <c r="U135" s="99">
        <v>7587</v>
      </c>
      <c r="V135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135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208.6793034297998</v>
      </c>
      <c r="X135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1157</v>
      </c>
      <c r="Y135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4396</v>
      </c>
      <c r="Z135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3230</v>
      </c>
      <c r="AA135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1289</v>
      </c>
      <c r="AB135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-3616</v>
      </c>
      <c r="AC135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-4178</v>
      </c>
      <c r="AD135" s="115" t="str">
        <f>IFERROR(ROUND((tblPiNHistorical[[#This Row],[CCCM - new]] - tblPiNHistorical[[#This Row],[CCCM - old]])/tblPiNHistorical[[#This Row],[CCCM - old]], 1), "")</f>
        <v/>
      </c>
      <c r="AE135" s="104">
        <f>IFERROR(ROUND((tblPiNHistorical[[#This Row],[Education - new]]-tblPiNHistorical[[#This Row],[Education - old]])/tblPiNHistorical[[#This Row],[Education - old]], 1), "")</f>
        <v>0.2</v>
      </c>
      <c r="AF135" s="104">
        <f>IFERROR(ROUND((tblPiNHistorical[[#This Row],[Nutrition - new]]-tblPiNHistorical[[#This Row],[Nutrition - old]])/tblPiNHistorical[[#This Row],[Nutrition - old]], 1), "")</f>
        <v>2.4</v>
      </c>
      <c r="AG135" s="104">
        <f>IFERROR(ROUND((tblPiNHistorical[[#This Row],[Food Security - new]]-tblPiNHistorical[[#This Row],[Food Security - old]])/tblPiNHistorical[[#This Row],[Food Security - old]], 1), "")</f>
        <v>0.6</v>
      </c>
      <c r="AH135" s="104">
        <f>IFERROR(ROUND((tblPiNHistorical[[#This Row],[Health - new]]-tblPiNHistorical[[#This Row],[Health - old]])/tblPiNHistorical[[#This Row],[Health - old]], 1), "")</f>
        <v>0.6</v>
      </c>
      <c r="AI135" s="104">
        <f>IFERROR(ROUND((tblPiNHistorical[[#This Row],[Overarching Protection - new]]-tblPiNHistorical[[#This Row],[Overarching Protection - old]])/tblPiNHistorical[[#This Row],[Overarching Protection - old]], 1), "")</f>
        <v>0.4</v>
      </c>
      <c r="AJ135" s="104">
        <f>IFERROR(ROUND((tblPiNHistorical[[#This Row],[Shelter - new]]-tblPiNHistorical[[#This Row],[Shelter - old]])/tblPiNHistorical[[#This Row],[Shelter - old]], 1), "")</f>
        <v>-0.7</v>
      </c>
      <c r="AK135" s="11">
        <f>IFERROR(ROUND((tblPiNHistorical[[#This Row],[WASH - new]]-tblPiNHistorical[[#This Row],[WASH - old]])/tblPiNHistorical[[#This Row],[WASH - old]], 1), "")</f>
        <v>-0.4</v>
      </c>
    </row>
    <row r="136" spans="1:37" ht="17.649999999999999" customHeight="1" x14ac:dyDescent="0.25">
      <c r="A136" s="97" t="s">
        <v>346</v>
      </c>
      <c r="B136" s="65" t="s">
        <v>356</v>
      </c>
      <c r="C136" s="65" t="s">
        <v>206</v>
      </c>
      <c r="D136" s="40" t="s">
        <v>66</v>
      </c>
      <c r="E136" s="37">
        <v>37907</v>
      </c>
      <c r="F136" s="98">
        <v>0</v>
      </c>
      <c r="G136" s="99">
        <v>992.77883145844498</v>
      </c>
      <c r="H136" s="99">
        <v>948</v>
      </c>
      <c r="I136" s="99">
        <v>12114</v>
      </c>
      <c r="J136" s="99">
        <v>10631</v>
      </c>
      <c r="K136" s="99">
        <v>3311</v>
      </c>
      <c r="L136" s="100">
        <v>7229</v>
      </c>
      <c r="M136" s="113">
        <v>19053.527999999998</v>
      </c>
      <c r="N136" s="101">
        <v>3486</v>
      </c>
      <c r="O136" s="101">
        <v>2594</v>
      </c>
      <c r="P136" s="99">
        <v>2953</v>
      </c>
      <c r="Q136" s="99">
        <v>22389</v>
      </c>
      <c r="R136" s="99">
        <v>13912</v>
      </c>
      <c r="S136" s="99">
        <v>5803</v>
      </c>
      <c r="T136" s="99">
        <v>15000</v>
      </c>
      <c r="U136" s="99">
        <v>20099</v>
      </c>
      <c r="V136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136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1601.221168541555</v>
      </c>
      <c r="X136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2005</v>
      </c>
      <c r="Y136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10275</v>
      </c>
      <c r="Z136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3281</v>
      </c>
      <c r="AA136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2492</v>
      </c>
      <c r="AB136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7771</v>
      </c>
      <c r="AC136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1045.4720000000016</v>
      </c>
      <c r="AD136" s="115" t="str">
        <f>IFERROR(ROUND((tblPiNHistorical[[#This Row],[CCCM - new]] - tblPiNHistorical[[#This Row],[CCCM - old]])/tblPiNHistorical[[#This Row],[CCCM - old]], 1), "")</f>
        <v/>
      </c>
      <c r="AE136" s="104">
        <f>IFERROR(ROUND((tblPiNHistorical[[#This Row],[Education - new]]-tblPiNHistorical[[#This Row],[Education - old]])/tblPiNHistorical[[#This Row],[Education - old]], 1), "")</f>
        <v>1.6</v>
      </c>
      <c r="AF136" s="104">
        <f>IFERROR(ROUND((tblPiNHistorical[[#This Row],[Nutrition - new]]-tblPiNHistorical[[#This Row],[Nutrition - old]])/tblPiNHistorical[[#This Row],[Nutrition - old]], 1), "")</f>
        <v>2.1</v>
      </c>
      <c r="AG136" s="104">
        <f>IFERROR(ROUND((tblPiNHistorical[[#This Row],[Food Security - new]]-tblPiNHistorical[[#This Row],[Food Security - old]])/tblPiNHistorical[[#This Row],[Food Security - old]], 1), "")</f>
        <v>0.8</v>
      </c>
      <c r="AH136" s="104">
        <f>IFERROR(ROUND((tblPiNHistorical[[#This Row],[Health - new]]-tblPiNHistorical[[#This Row],[Health - old]])/tblPiNHistorical[[#This Row],[Health - old]], 1), "")</f>
        <v>0.3</v>
      </c>
      <c r="AI136" s="104">
        <f>IFERROR(ROUND((tblPiNHistorical[[#This Row],[Overarching Protection - new]]-tblPiNHistorical[[#This Row],[Overarching Protection - old]])/tblPiNHistorical[[#This Row],[Overarching Protection - old]], 1), "")</f>
        <v>0.8</v>
      </c>
      <c r="AJ136" s="104">
        <f>IFERROR(ROUND((tblPiNHistorical[[#This Row],[Shelter - new]]-tblPiNHistorical[[#This Row],[Shelter - old]])/tblPiNHistorical[[#This Row],[Shelter - old]], 1), "")</f>
        <v>1.1000000000000001</v>
      </c>
      <c r="AK136" s="11">
        <f>IFERROR(ROUND((tblPiNHistorical[[#This Row],[WASH - new]]-tblPiNHistorical[[#This Row],[WASH - old]])/tblPiNHistorical[[#This Row],[WASH - old]], 1), "")</f>
        <v>0.1</v>
      </c>
    </row>
    <row r="137" spans="1:37" ht="17.649999999999999" customHeight="1" x14ac:dyDescent="0.25">
      <c r="A137" s="97" t="s">
        <v>346</v>
      </c>
      <c r="B137" s="65" t="s">
        <v>356</v>
      </c>
      <c r="C137" s="65" t="s">
        <v>303</v>
      </c>
      <c r="D137" s="40" t="s">
        <v>163</v>
      </c>
      <c r="E137" s="37">
        <v>33793</v>
      </c>
      <c r="F137" s="98">
        <v>0</v>
      </c>
      <c r="G137" s="99">
        <v>858.49545194325628</v>
      </c>
      <c r="H137" s="99">
        <v>821</v>
      </c>
      <c r="I137" s="99">
        <v>10893</v>
      </c>
      <c r="J137" s="99">
        <v>16296</v>
      </c>
      <c r="K137" s="99">
        <v>2821</v>
      </c>
      <c r="L137" s="100">
        <v>5834</v>
      </c>
      <c r="M137" s="113">
        <v>14848.548000000001</v>
      </c>
      <c r="N137" s="101">
        <v>4421</v>
      </c>
      <c r="O137" s="101">
        <v>2179</v>
      </c>
      <c r="P137" s="99">
        <v>2719</v>
      </c>
      <c r="Q137" s="99">
        <v>19603</v>
      </c>
      <c r="R137" s="99">
        <v>14142</v>
      </c>
      <c r="S137" s="99">
        <v>4400</v>
      </c>
      <c r="T137" s="99">
        <v>15000</v>
      </c>
      <c r="U137" s="99">
        <v>15731</v>
      </c>
      <c r="V137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137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1320.5045480567437</v>
      </c>
      <c r="X137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1898</v>
      </c>
      <c r="Y137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8710</v>
      </c>
      <c r="Z137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-2154</v>
      </c>
      <c r="AA137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1579</v>
      </c>
      <c r="AB137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9166</v>
      </c>
      <c r="AC137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882.45199999999932</v>
      </c>
      <c r="AD137" s="115" t="str">
        <f>IFERROR(ROUND((tblPiNHistorical[[#This Row],[CCCM - new]] - tblPiNHistorical[[#This Row],[CCCM - old]])/tblPiNHistorical[[#This Row],[CCCM - old]], 1), "")</f>
        <v/>
      </c>
      <c r="AE137" s="104">
        <f>IFERROR(ROUND((tblPiNHistorical[[#This Row],[Education - new]]-tblPiNHistorical[[#This Row],[Education - old]])/tblPiNHistorical[[#This Row],[Education - old]], 1), "")</f>
        <v>1.5</v>
      </c>
      <c r="AF137" s="104">
        <f>IFERROR(ROUND((tblPiNHistorical[[#This Row],[Nutrition - new]]-tblPiNHistorical[[#This Row],[Nutrition - old]])/tblPiNHistorical[[#This Row],[Nutrition - old]], 1), "")</f>
        <v>2.2999999999999998</v>
      </c>
      <c r="AG137" s="104">
        <f>IFERROR(ROUND((tblPiNHistorical[[#This Row],[Food Security - new]]-tblPiNHistorical[[#This Row],[Food Security - old]])/tblPiNHistorical[[#This Row],[Food Security - old]], 1), "")</f>
        <v>0.8</v>
      </c>
      <c r="AH137" s="104">
        <f>IFERROR(ROUND((tblPiNHistorical[[#This Row],[Health - new]]-tblPiNHistorical[[#This Row],[Health - old]])/tblPiNHistorical[[#This Row],[Health - old]], 1), "")</f>
        <v>-0.1</v>
      </c>
      <c r="AI137" s="104">
        <f>IFERROR(ROUND((tblPiNHistorical[[#This Row],[Overarching Protection - new]]-tblPiNHistorical[[#This Row],[Overarching Protection - old]])/tblPiNHistorical[[#This Row],[Overarching Protection - old]], 1), "")</f>
        <v>0.6</v>
      </c>
      <c r="AJ137" s="104">
        <f>IFERROR(ROUND((tblPiNHistorical[[#This Row],[Shelter - new]]-tblPiNHistorical[[#This Row],[Shelter - old]])/tblPiNHistorical[[#This Row],[Shelter - old]], 1), "")</f>
        <v>1.6</v>
      </c>
      <c r="AK137" s="11">
        <f>IFERROR(ROUND((tblPiNHistorical[[#This Row],[WASH - new]]-tblPiNHistorical[[#This Row],[WASH - old]])/tblPiNHistorical[[#This Row],[WASH - old]], 1), "")</f>
        <v>0.1</v>
      </c>
    </row>
    <row r="138" spans="1:37" ht="17.649999999999999" customHeight="1" x14ac:dyDescent="0.25">
      <c r="A138" s="97" t="s">
        <v>346</v>
      </c>
      <c r="B138" s="65" t="s">
        <v>356</v>
      </c>
      <c r="C138" s="65" t="s">
        <v>273</v>
      </c>
      <c r="D138" s="40" t="s">
        <v>133</v>
      </c>
      <c r="E138" s="37">
        <v>45890</v>
      </c>
      <c r="F138" s="98">
        <v>0</v>
      </c>
      <c r="G138" s="99">
        <v>915.292936594651</v>
      </c>
      <c r="H138" s="99">
        <v>1125</v>
      </c>
      <c r="I138" s="99">
        <v>15510</v>
      </c>
      <c r="J138" s="99">
        <v>83</v>
      </c>
      <c r="K138" s="99">
        <v>2948</v>
      </c>
      <c r="L138" s="100">
        <v>3456</v>
      </c>
      <c r="M138" s="113">
        <v>9206.1920000000009</v>
      </c>
      <c r="N138" s="101">
        <v>5475</v>
      </c>
      <c r="O138" s="101">
        <v>3442</v>
      </c>
      <c r="P138" s="99">
        <v>3798</v>
      </c>
      <c r="Q138" s="99">
        <v>26847</v>
      </c>
      <c r="R138" s="99">
        <v>18289</v>
      </c>
      <c r="S138" s="99">
        <v>5176</v>
      </c>
      <c r="T138" s="99">
        <v>21120</v>
      </c>
      <c r="U138" s="99">
        <v>17919</v>
      </c>
      <c r="V138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138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2526.7070634053489</v>
      </c>
      <c r="X138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2673</v>
      </c>
      <c r="Y138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11337</v>
      </c>
      <c r="Z138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18206</v>
      </c>
      <c r="AA138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2228</v>
      </c>
      <c r="AB138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17664</v>
      </c>
      <c r="AC138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8712.8079999999991</v>
      </c>
      <c r="AD138" s="115" t="str">
        <f>IFERROR(ROUND((tblPiNHistorical[[#This Row],[CCCM - new]] - tblPiNHistorical[[#This Row],[CCCM - old]])/tblPiNHistorical[[#This Row],[CCCM - old]], 1), "")</f>
        <v/>
      </c>
      <c r="AE138" s="104">
        <f>IFERROR(ROUND((tblPiNHistorical[[#This Row],[Education - new]]-tblPiNHistorical[[#This Row],[Education - old]])/tblPiNHistorical[[#This Row],[Education - old]], 1), "")</f>
        <v>2.8</v>
      </c>
      <c r="AF138" s="104">
        <f>IFERROR(ROUND((tblPiNHistorical[[#This Row],[Nutrition - new]]-tblPiNHistorical[[#This Row],[Nutrition - old]])/tblPiNHistorical[[#This Row],[Nutrition - old]], 1), "")</f>
        <v>2.4</v>
      </c>
      <c r="AG138" s="104">
        <f>IFERROR(ROUND((tblPiNHistorical[[#This Row],[Food Security - new]]-tblPiNHistorical[[#This Row],[Food Security - old]])/tblPiNHistorical[[#This Row],[Food Security - old]], 1), "")</f>
        <v>0.7</v>
      </c>
      <c r="AH138" s="104">
        <f>IFERROR(ROUND((tblPiNHistorical[[#This Row],[Health - new]]-tblPiNHistorical[[#This Row],[Health - old]])/tblPiNHistorical[[#This Row],[Health - old]], 1), "")</f>
        <v>219.3</v>
      </c>
      <c r="AI138" s="104">
        <f>IFERROR(ROUND((tblPiNHistorical[[#This Row],[Overarching Protection - new]]-tblPiNHistorical[[#This Row],[Overarching Protection - old]])/tblPiNHistorical[[#This Row],[Overarching Protection - old]], 1), "")</f>
        <v>0.8</v>
      </c>
      <c r="AJ138" s="104">
        <f>IFERROR(ROUND((tblPiNHistorical[[#This Row],[Shelter - new]]-tblPiNHistorical[[#This Row],[Shelter - old]])/tblPiNHistorical[[#This Row],[Shelter - old]], 1), "")</f>
        <v>5.0999999999999996</v>
      </c>
      <c r="AK138" s="11">
        <f>IFERROR(ROUND((tblPiNHistorical[[#This Row],[WASH - new]]-tblPiNHistorical[[#This Row],[WASH - old]])/tblPiNHistorical[[#This Row],[WASH - old]], 1), "")</f>
        <v>0.9</v>
      </c>
    </row>
    <row r="139" spans="1:37" ht="17.649999999999999" customHeight="1" x14ac:dyDescent="0.25">
      <c r="A139" s="97" t="s">
        <v>346</v>
      </c>
      <c r="B139" s="65" t="s">
        <v>356</v>
      </c>
      <c r="C139" s="65" t="s">
        <v>212</v>
      </c>
      <c r="D139" s="40" t="s">
        <v>72</v>
      </c>
      <c r="E139" s="37">
        <v>23479</v>
      </c>
      <c r="F139" s="98">
        <v>0</v>
      </c>
      <c r="G139" s="99">
        <v>624.68404491976901</v>
      </c>
      <c r="H139" s="99">
        <v>567</v>
      </c>
      <c r="I139" s="99">
        <v>7551</v>
      </c>
      <c r="J139" s="99">
        <v>9543</v>
      </c>
      <c r="K139" s="99">
        <v>2086</v>
      </c>
      <c r="L139" s="100">
        <v>5307</v>
      </c>
      <c r="M139" s="113">
        <v>11940.1875</v>
      </c>
      <c r="N139" s="101">
        <v>3252</v>
      </c>
      <c r="O139" s="101">
        <v>1622</v>
      </c>
      <c r="P139" s="99">
        <v>2246</v>
      </c>
      <c r="Q139" s="99">
        <v>13542</v>
      </c>
      <c r="R139" s="99">
        <v>10054</v>
      </c>
      <c r="S139" s="99">
        <v>3988</v>
      </c>
      <c r="T139" s="99">
        <v>13998</v>
      </c>
      <c r="U139" s="99">
        <v>10097</v>
      </c>
      <c r="V139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139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997.31595508023099</v>
      </c>
      <c r="X139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1679</v>
      </c>
      <c r="Y139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5991</v>
      </c>
      <c r="Z139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511</v>
      </c>
      <c r="AA139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1902</v>
      </c>
      <c r="AB139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8691</v>
      </c>
      <c r="AC139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-1843.1875</v>
      </c>
      <c r="AD139" s="115" t="str">
        <f>IFERROR(ROUND((tblPiNHistorical[[#This Row],[CCCM - new]] - tblPiNHistorical[[#This Row],[CCCM - old]])/tblPiNHistorical[[#This Row],[CCCM - old]], 1), "")</f>
        <v/>
      </c>
      <c r="AE139" s="104">
        <f>IFERROR(ROUND((tblPiNHistorical[[#This Row],[Education - new]]-tblPiNHistorical[[#This Row],[Education - old]])/tblPiNHistorical[[#This Row],[Education - old]], 1), "")</f>
        <v>1.6</v>
      </c>
      <c r="AF139" s="104">
        <f>IFERROR(ROUND((tblPiNHistorical[[#This Row],[Nutrition - new]]-tblPiNHistorical[[#This Row],[Nutrition - old]])/tblPiNHistorical[[#This Row],[Nutrition - old]], 1), "")</f>
        <v>3</v>
      </c>
      <c r="AG139" s="104">
        <f>IFERROR(ROUND((tblPiNHistorical[[#This Row],[Food Security - new]]-tblPiNHistorical[[#This Row],[Food Security - old]])/tblPiNHistorical[[#This Row],[Food Security - old]], 1), "")</f>
        <v>0.8</v>
      </c>
      <c r="AH139" s="104">
        <f>IFERROR(ROUND((tblPiNHistorical[[#This Row],[Health - new]]-tblPiNHistorical[[#This Row],[Health - old]])/tblPiNHistorical[[#This Row],[Health - old]], 1), "")</f>
        <v>0.1</v>
      </c>
      <c r="AI139" s="104">
        <f>IFERROR(ROUND((tblPiNHistorical[[#This Row],[Overarching Protection - new]]-tblPiNHistorical[[#This Row],[Overarching Protection - old]])/tblPiNHistorical[[#This Row],[Overarching Protection - old]], 1), "")</f>
        <v>0.9</v>
      </c>
      <c r="AJ139" s="104">
        <f>IFERROR(ROUND((tblPiNHistorical[[#This Row],[Shelter - new]]-tblPiNHistorical[[#This Row],[Shelter - old]])/tblPiNHistorical[[#This Row],[Shelter - old]], 1), "")</f>
        <v>1.6</v>
      </c>
      <c r="AK139" s="11">
        <f>IFERROR(ROUND((tblPiNHistorical[[#This Row],[WASH - new]]-tblPiNHistorical[[#This Row],[WASH - old]])/tblPiNHistorical[[#This Row],[WASH - old]], 1), "")</f>
        <v>-0.2</v>
      </c>
    </row>
    <row r="140" spans="1:37" ht="17.649999999999999" customHeight="1" x14ac:dyDescent="0.25">
      <c r="A140" s="97" t="s">
        <v>346</v>
      </c>
      <c r="B140" s="65" t="s">
        <v>356</v>
      </c>
      <c r="C140" s="65" t="s">
        <v>310</v>
      </c>
      <c r="D140" s="40" t="s">
        <v>170</v>
      </c>
      <c r="E140" s="37">
        <v>32168</v>
      </c>
      <c r="F140" s="98">
        <v>0</v>
      </c>
      <c r="G140" s="99">
        <v>586.51495808409084</v>
      </c>
      <c r="H140" s="99">
        <v>746</v>
      </c>
      <c r="I140" s="99">
        <v>10899</v>
      </c>
      <c r="J140" s="99">
        <v>16941</v>
      </c>
      <c r="K140" s="99">
        <v>1927</v>
      </c>
      <c r="L140" s="100">
        <v>3322</v>
      </c>
      <c r="M140" s="113">
        <v>7927.1575000000003</v>
      </c>
      <c r="N140" s="101">
        <v>6186</v>
      </c>
      <c r="O140" s="101">
        <v>1885</v>
      </c>
      <c r="P140" s="99">
        <v>2652</v>
      </c>
      <c r="Q140" s="99">
        <v>17809</v>
      </c>
      <c r="R140" s="99">
        <v>16387</v>
      </c>
      <c r="S140" s="99">
        <v>3641</v>
      </c>
      <c r="T140" s="99">
        <v>15000</v>
      </c>
      <c r="U140" s="99">
        <v>14854</v>
      </c>
      <c r="V140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140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1298.4850419159093</v>
      </c>
      <c r="X140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1906</v>
      </c>
      <c r="Y140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6910</v>
      </c>
      <c r="Z140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-554</v>
      </c>
      <c r="AA140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1714</v>
      </c>
      <c r="AB140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11678</v>
      </c>
      <c r="AC140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6926.8424999999997</v>
      </c>
      <c r="AD140" s="115" t="str">
        <f>IFERROR(ROUND((tblPiNHistorical[[#This Row],[CCCM - new]] - tblPiNHistorical[[#This Row],[CCCM - old]])/tblPiNHistorical[[#This Row],[CCCM - old]], 1), "")</f>
        <v/>
      </c>
      <c r="AE140" s="104">
        <f>IFERROR(ROUND((tblPiNHistorical[[#This Row],[Education - new]]-tblPiNHistorical[[#This Row],[Education - old]])/tblPiNHistorical[[#This Row],[Education - old]], 1), "")</f>
        <v>2.2000000000000002</v>
      </c>
      <c r="AF140" s="104">
        <f>IFERROR(ROUND((tblPiNHistorical[[#This Row],[Nutrition - new]]-tblPiNHistorical[[#This Row],[Nutrition - old]])/tblPiNHistorical[[#This Row],[Nutrition - old]], 1), "")</f>
        <v>2.6</v>
      </c>
      <c r="AG140" s="104">
        <f>IFERROR(ROUND((tblPiNHistorical[[#This Row],[Food Security - new]]-tblPiNHistorical[[#This Row],[Food Security - old]])/tblPiNHistorical[[#This Row],[Food Security - old]], 1), "")</f>
        <v>0.6</v>
      </c>
      <c r="AH140" s="104">
        <f>IFERROR(ROUND((tblPiNHistorical[[#This Row],[Health - new]]-tblPiNHistorical[[#This Row],[Health - old]])/tblPiNHistorical[[#This Row],[Health - old]], 1), "")</f>
        <v>0</v>
      </c>
      <c r="AI140" s="104">
        <f>IFERROR(ROUND((tblPiNHistorical[[#This Row],[Overarching Protection - new]]-tblPiNHistorical[[#This Row],[Overarching Protection - old]])/tblPiNHistorical[[#This Row],[Overarching Protection - old]], 1), "")</f>
        <v>0.9</v>
      </c>
      <c r="AJ140" s="104">
        <f>IFERROR(ROUND((tblPiNHistorical[[#This Row],[Shelter - new]]-tblPiNHistorical[[#This Row],[Shelter - old]])/tblPiNHistorical[[#This Row],[Shelter - old]], 1), "")</f>
        <v>3.5</v>
      </c>
      <c r="AK140" s="11">
        <f>IFERROR(ROUND((tblPiNHistorical[[#This Row],[WASH - new]]-tblPiNHistorical[[#This Row],[WASH - old]])/tblPiNHistorical[[#This Row],[WASH - old]], 1), "")</f>
        <v>0.9</v>
      </c>
    </row>
    <row r="141" spans="1:37" ht="17.649999999999999" customHeight="1" x14ac:dyDescent="0.25">
      <c r="A141" s="97" t="s">
        <v>346</v>
      </c>
      <c r="B141" s="65" t="s">
        <v>356</v>
      </c>
      <c r="C141" s="65" t="s">
        <v>217</v>
      </c>
      <c r="D141" s="40" t="s">
        <v>77</v>
      </c>
      <c r="E141" s="37">
        <v>45622</v>
      </c>
      <c r="F141" s="98">
        <v>0</v>
      </c>
      <c r="G141" s="99">
        <v>811.32116805922226</v>
      </c>
      <c r="H141" s="99">
        <v>1130</v>
      </c>
      <c r="I141" s="99">
        <v>16499</v>
      </c>
      <c r="J141" s="99">
        <v>6434</v>
      </c>
      <c r="K141" s="99">
        <v>2760</v>
      </c>
      <c r="L141" s="100">
        <v>5514</v>
      </c>
      <c r="M141" s="113">
        <v>13219.335499999999</v>
      </c>
      <c r="N141" s="101">
        <v>4829</v>
      </c>
      <c r="O141" s="101">
        <v>3200</v>
      </c>
      <c r="P141" s="99">
        <v>3574</v>
      </c>
      <c r="Q141" s="99">
        <v>26960</v>
      </c>
      <c r="R141" s="99">
        <v>17492</v>
      </c>
      <c r="S141" s="99">
        <v>4338</v>
      </c>
      <c r="T141" s="99">
        <v>13251</v>
      </c>
      <c r="U141" s="99">
        <v>25457</v>
      </c>
      <c r="V141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141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2388.6788319407779</v>
      </c>
      <c r="X141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2444</v>
      </c>
      <c r="Y141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10461</v>
      </c>
      <c r="Z141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11058</v>
      </c>
      <c r="AA141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1578</v>
      </c>
      <c r="AB141" s="103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>7737</v>
      </c>
      <c r="AC141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12237.664500000001</v>
      </c>
      <c r="AD141" s="115" t="str">
        <f>IFERROR(ROUND((tblPiNHistorical[[#This Row],[CCCM - new]] - tblPiNHistorical[[#This Row],[CCCM - old]])/tblPiNHistorical[[#This Row],[CCCM - old]], 1), "")</f>
        <v/>
      </c>
      <c r="AE141" s="104">
        <f>IFERROR(ROUND((tblPiNHistorical[[#This Row],[Education - new]]-tblPiNHistorical[[#This Row],[Education - old]])/tblPiNHistorical[[#This Row],[Education - old]], 1), "")</f>
        <v>2.9</v>
      </c>
      <c r="AF141" s="104">
        <f>IFERROR(ROUND((tblPiNHistorical[[#This Row],[Nutrition - new]]-tblPiNHistorical[[#This Row],[Nutrition - old]])/tblPiNHistorical[[#This Row],[Nutrition - old]], 1), "")</f>
        <v>2.2000000000000002</v>
      </c>
      <c r="AG141" s="104">
        <f>IFERROR(ROUND((tblPiNHistorical[[#This Row],[Food Security - new]]-tblPiNHistorical[[#This Row],[Food Security - old]])/tblPiNHistorical[[#This Row],[Food Security - old]], 1), "")</f>
        <v>0.6</v>
      </c>
      <c r="AH141" s="104">
        <f>IFERROR(ROUND((tblPiNHistorical[[#This Row],[Health - new]]-tblPiNHistorical[[#This Row],[Health - old]])/tblPiNHistorical[[#This Row],[Health - old]], 1), "")</f>
        <v>1.7</v>
      </c>
      <c r="AI141" s="104">
        <f>IFERROR(ROUND((tblPiNHistorical[[#This Row],[Overarching Protection - new]]-tblPiNHistorical[[#This Row],[Overarching Protection - old]])/tblPiNHistorical[[#This Row],[Overarching Protection - old]], 1), "")</f>
        <v>0.6</v>
      </c>
      <c r="AJ141" s="104">
        <f>IFERROR(ROUND((tblPiNHistorical[[#This Row],[Shelter - new]]-tblPiNHistorical[[#This Row],[Shelter - old]])/tblPiNHistorical[[#This Row],[Shelter - old]], 1), "")</f>
        <v>1.4</v>
      </c>
      <c r="AK141" s="11">
        <f>IFERROR(ROUND((tblPiNHistorical[[#This Row],[WASH - new]]-tblPiNHistorical[[#This Row],[WASH - old]])/tblPiNHistorical[[#This Row],[WASH - old]], 1), "")</f>
        <v>0.9</v>
      </c>
    </row>
    <row r="142" spans="1:37" ht="17.649999999999999" customHeight="1" x14ac:dyDescent="0.25">
      <c r="A142" s="97" t="s">
        <v>346</v>
      </c>
      <c r="B142" s="65" t="s">
        <v>356</v>
      </c>
      <c r="C142" s="65" t="s">
        <v>260</v>
      </c>
      <c r="D142" s="40" t="s">
        <v>120</v>
      </c>
      <c r="E142" s="37">
        <v>6460</v>
      </c>
      <c r="F142" s="98">
        <v>0</v>
      </c>
      <c r="G142" s="99">
        <v>107.29721711864504</v>
      </c>
      <c r="H142" s="99">
        <v>159</v>
      </c>
      <c r="I142" s="99">
        <v>2327</v>
      </c>
      <c r="J142" s="99">
        <v>1521</v>
      </c>
      <c r="K142" s="99">
        <v>420</v>
      </c>
      <c r="L142" s="100">
        <v>0</v>
      </c>
      <c r="M142" s="113">
        <v>473.98</v>
      </c>
      <c r="N142" s="101">
        <v>720</v>
      </c>
      <c r="O142" s="101">
        <v>476</v>
      </c>
      <c r="P142" s="99">
        <v>524</v>
      </c>
      <c r="Q142" s="99">
        <v>4303</v>
      </c>
      <c r="R142" s="99">
        <v>2713</v>
      </c>
      <c r="S142" s="99">
        <v>616</v>
      </c>
      <c r="T142" s="99">
        <v>3738</v>
      </c>
      <c r="U142" s="99">
        <v>2355</v>
      </c>
      <c r="V142" s="102" t="str">
        <f>IF(OR(tblPiNHistorical[[#This Row],[CCCM - old]]="", tblPiNHistorical[[#This Row],[CCCM - old]]=0, tblPiNHistorical[[#This Row],[CCCM - new]]="", tblPiNHistorical[[#This Row],[CCCM - new]]=0), "", tblPiNHistorical[[#This Row],[CCCM - new]]-tblPiNHistorical[[#This Row],[CCCM - old]])</f>
        <v/>
      </c>
      <c r="W142" s="103">
        <f>IF(OR(tblPiNHistorical[[#This Row],[Education - old]]="", tblPiNHistorical[[#This Row],[Education - old]]=0, tblPiNHistorical[[#This Row],[Education - new]]="", tblPiNHistorical[[#This Row],[Education - new]]=0), "", tblPiNHistorical[[#This Row],[Education - new]]-tblPiNHistorical[[#This Row],[Education - old]])</f>
        <v>368.70278288135495</v>
      </c>
      <c r="X142" s="103">
        <f>IF(OR(tblPiNHistorical[[#This Row],[Nutrition - old]]="", tblPiNHistorical[[#This Row],[Nutrition - old]]=0, tblPiNHistorical[[#This Row],[Nutrition - new]]="", tblPiNHistorical[[#This Row],[Nutrition - new]]=0), "", tblPiNHistorical[[#This Row],[Nutrition - new]]-tblPiNHistorical[[#This Row],[Nutrition - old]])</f>
        <v>365</v>
      </c>
      <c r="Y142" s="103">
        <f>IF(OR(tblPiNHistorical[[#This Row],[Food Security - old]]="", tblPiNHistorical[[#This Row],[Food Security - old]]=0, tblPiNHistorical[[#This Row],[Food Security - new]]="", tblPiNHistorical[[#This Row],[Food Security - new]]=0), "", tblPiNHistorical[[#This Row],[Food Security - new]]-tblPiNHistorical[[#This Row],[Food Security - old]])</f>
        <v>1976</v>
      </c>
      <c r="Z142" s="103">
        <f>IF(OR(tblPiNHistorical[[#This Row],[Health - old]]="", tblPiNHistorical[[#This Row],[Health - old]]=0, tblPiNHistorical[[#This Row],[Health - new]]="", tblPiNHistorical[[#This Row],[Health - new]]=0), "", tblPiNHistorical[[#This Row],[Health - new]]-tblPiNHistorical[[#This Row],[Health - old]])</f>
        <v>1192</v>
      </c>
      <c r="AA142" s="103">
        <f>IF(OR(tblPiNHistorical[[#This Row],[Overarching Protection - old]]="", tblPiNHistorical[[#This Row],[Overarching Protection - old]]=0, tblPiNHistorical[[#This Row],[Overarching Protection - new]]="", tblPiNHistorical[[#This Row],[Overarching Protection - new]]=0), "", tblPiNHistorical[[#This Row],[Overarching Protection - new]]-tblPiNHistorical[[#This Row],[Overarching Protection - old]])</f>
        <v>196</v>
      </c>
      <c r="AB142" s="103" t="str">
        <f>IF(OR(tblPiNHistorical[[#This Row],[Shelter - old]]="", tblPiNHistorical[[#This Row],[Shelter - old]]=0, tblPiNHistorical[[#This Row],[Shelter - new]]="", tblPiNHistorical[[#This Row],[Shelter - new]]=0), "", tblPiNHistorical[[#This Row],[Shelter - new]]-tblPiNHistorical[[#This Row],[Shelter - old]])</f>
        <v/>
      </c>
      <c r="AC142" s="114">
        <f>IF(OR(tblPiNHistorical[[#This Row],[WASH - old]]="", tblPiNHistorical[[#This Row],[WASH - old]]=0, tblPiNHistorical[[#This Row],[WASH - new]]="", tblPiNHistorical[[#This Row],[WASH - new]]=0), "", tblPiNHistorical[[#This Row],[WASH - new]]-tblPiNHistorical[[#This Row],[WASH - old]])</f>
        <v>1881.02</v>
      </c>
      <c r="AD142" s="115" t="str">
        <f>IFERROR(ROUND((tblPiNHistorical[[#This Row],[CCCM - new]] - tblPiNHistorical[[#This Row],[CCCM - old]])/tblPiNHistorical[[#This Row],[CCCM - old]], 1), "")</f>
        <v/>
      </c>
      <c r="AE142" s="104">
        <f>IFERROR(ROUND((tblPiNHistorical[[#This Row],[Education - new]]-tblPiNHistorical[[#This Row],[Education - old]])/tblPiNHistorical[[#This Row],[Education - old]], 1), "")</f>
        <v>3.4</v>
      </c>
      <c r="AF142" s="104">
        <f>IFERROR(ROUND((tblPiNHistorical[[#This Row],[Nutrition - new]]-tblPiNHistorical[[#This Row],[Nutrition - old]])/tblPiNHistorical[[#This Row],[Nutrition - old]], 1), "")</f>
        <v>2.2999999999999998</v>
      </c>
      <c r="AG142" s="104">
        <f>IFERROR(ROUND((tblPiNHistorical[[#This Row],[Food Security - new]]-tblPiNHistorical[[#This Row],[Food Security - old]])/tblPiNHistorical[[#This Row],[Food Security - old]], 1), "")</f>
        <v>0.8</v>
      </c>
      <c r="AH142" s="104">
        <f>IFERROR(ROUND((tblPiNHistorical[[#This Row],[Health - new]]-tblPiNHistorical[[#This Row],[Health - old]])/tblPiNHistorical[[#This Row],[Health - old]], 1), "")</f>
        <v>0.8</v>
      </c>
      <c r="AI142" s="104">
        <f>IFERROR(ROUND((tblPiNHistorical[[#This Row],[Overarching Protection - new]]-tblPiNHistorical[[#This Row],[Overarching Protection - old]])/tblPiNHistorical[[#This Row],[Overarching Protection - old]], 1), "")</f>
        <v>0.5</v>
      </c>
      <c r="AJ142" s="104" t="str">
        <f>IFERROR(ROUND((tblPiNHistorical[[#This Row],[Shelter - new]]-tblPiNHistorical[[#This Row],[Shelter - old]])/tblPiNHistorical[[#This Row],[Shelter - old]], 1), "")</f>
        <v/>
      </c>
      <c r="AK142" s="11">
        <f>IFERROR(ROUND((tblPiNHistorical[[#This Row],[WASH - new]]-tblPiNHistorical[[#This Row],[WASH - old]])/tblPiNHistorical[[#This Row],[WASH - old]], 1), "")</f>
        <v>4</v>
      </c>
    </row>
  </sheetData>
  <mergeCells count="5">
    <mergeCell ref="AD1:AK1"/>
    <mergeCell ref="A1:D1"/>
    <mergeCell ref="F1:M1"/>
    <mergeCell ref="N1:U1"/>
    <mergeCell ref="V1:AC1"/>
  </mergeCells>
  <phoneticPr fontId="9" type="noConversion"/>
  <conditionalFormatting sqref="AD3:AK142">
    <cfRule type="cellIs" dxfId="0" priority="1" operator="notBetween">
      <formula>#REF!*-1</formula>
      <formula>#REF!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bf3f363-4def-48dc-8992-760c24d39b7e" xsi:nil="true"/>
    <lcf76f155ced4ddcb4097134ff3c332f xmlns="84e8ff03-0c8d-48b4-87df-55a8c14526b6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02061DEED33C40A745CC75C5DD70BA" ma:contentTypeVersion="12" ma:contentTypeDescription="Create a new document." ma:contentTypeScope="" ma:versionID="14ae36ae58176df30e7b82d84611161b">
  <xsd:schema xmlns:xsd="http://www.w3.org/2001/XMLSchema" xmlns:xs="http://www.w3.org/2001/XMLSchema" xmlns:p="http://schemas.microsoft.com/office/2006/metadata/properties" xmlns:ns2="84e8ff03-0c8d-48b4-87df-55a8c14526b6" xmlns:ns3="1bf3f363-4def-48dc-8992-760c24d39b7e" targetNamespace="http://schemas.microsoft.com/office/2006/metadata/properties" ma:root="true" ma:fieldsID="4e933d545dad1b5602d7c9045a717764" ns2:_="" ns3:_="">
    <xsd:import namespace="84e8ff03-0c8d-48b4-87df-55a8c14526b6"/>
    <xsd:import namespace="1bf3f363-4def-48dc-8992-760c24d39b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e8ff03-0c8d-48b4-87df-55a8c14526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f3f363-4def-48dc-8992-760c24d39b7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3af809b-9be8-496f-91ce-e9f172c6efd2}" ma:internalName="TaxCatchAll" ma:showField="CatchAllData" ma:web="1bf3f363-4def-48dc-8992-760c24d39b7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D2773FCC-826E-4CAD-9139-51980A25E69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DB33FB5-1F5A-4D1B-85FB-9C0BE1535D94}">
  <ds:schemaRefs>
    <ds:schemaRef ds:uri="http://schemas.microsoft.com/office/2006/metadata/properties"/>
    <ds:schemaRef ds:uri="http://schemas.microsoft.com/office/infopath/2007/PartnerControls"/>
    <ds:schemaRef ds:uri="985ec44e-1bab-4c0b-9df0-6ba128686fc9"/>
    <ds:schemaRef ds:uri="0292b1bc-dc04-4c7a-906e-4a7c2dc29542"/>
    <ds:schemaRef ds:uri="bd0faaa1-daec-4526-9aaa-a3949102b502"/>
    <ds:schemaRef ds:uri="bf986179-5490-4bdf-b4d6-9bcf20745c52"/>
    <ds:schemaRef ds:uri="452c1c78-db6e-4c21-967d-f32ecbe94f88"/>
    <ds:schemaRef ds:uri="1bf3f363-4def-48dc-8992-760c24d39b7e"/>
    <ds:schemaRef ds:uri="84e8ff03-0c8d-48b4-87df-55a8c14526b6"/>
  </ds:schemaRefs>
</ds:datastoreItem>
</file>

<file path=customXml/itemProps3.xml><?xml version="1.0" encoding="utf-8"?>
<ds:datastoreItem xmlns:ds="http://schemas.openxmlformats.org/officeDocument/2006/customXml" ds:itemID="{DE99F51D-BEBE-49F5-B530-875F4CF1F4C7}"/>
</file>

<file path=customXml/itemProps4.xml><?xml version="1.0" encoding="utf-8"?>
<ds:datastoreItem xmlns:ds="http://schemas.openxmlformats.org/officeDocument/2006/customXml" ds:itemID="{39BA3362-B553-4C18-82A9-9E38B32353F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PiN</vt:lpstr>
      <vt:lpstr>Severity</vt:lpstr>
      <vt:lpstr>Historical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Muhammad Kashif NADEEM</dc:creator>
  <cp:keywords/>
  <dc:description/>
  <cp:lastModifiedBy>Pshea-Smith, Ian A.</cp:lastModifiedBy>
  <cp:revision/>
  <cp:lastPrinted>2024-10-25T17:47:37Z</cp:lastPrinted>
  <dcterms:created xsi:type="dcterms:W3CDTF">2021-12-15T14:13:54Z</dcterms:created>
  <dcterms:modified xsi:type="dcterms:W3CDTF">2026-01-08T14:41:04Z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0x010100FF02061DEED33C40A745CC75C5DD70BA</vt:lpwstr>
  </property>
  <property fmtid="{D5CDD505-2E9C-101B-9397-08002B2CF9AE}" pid="3" name="Order">
    <vt:r8>138800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MediaServiceImageTags">
    <vt:lpwstr/>
  </property>
</Properties>
</file>